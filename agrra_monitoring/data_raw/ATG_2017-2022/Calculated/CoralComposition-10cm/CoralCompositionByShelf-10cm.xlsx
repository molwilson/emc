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Composition-10cm\"/>
    </mc:Choice>
  </mc:AlternateContent>
  <xr:revisionPtr revIDLastSave="0" documentId="8_{DCEA9DFD-6A59-4ACF-92E7-38B6726B84AF}" xr6:coauthVersionLast="47" xr6:coauthVersionMax="47" xr10:uidLastSave="{00000000-0000-0000-0000-000000000000}"/>
  <bookViews>
    <workbookView xWindow="-990" yWindow="-16920" windowWidth="28800" windowHeight="15435" xr2:uid="{FF61E06C-D3EC-4C4B-AD65-AED700985525}"/>
  </bookViews>
  <sheets>
    <sheet name="Key" sheetId="1" r:id="rId1"/>
    <sheet name="Genus" sheetId="2" r:id="rId2"/>
    <sheet name="Speci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V3" i="3" l="1"/>
  <c r="AV4" i="3"/>
  <c r="AV5" i="3"/>
  <c r="AV6" i="3"/>
  <c r="AV7" i="3"/>
  <c r="AV2" i="3"/>
  <c r="AU3" i="3"/>
  <c r="AU4" i="3"/>
  <c r="AU5" i="3"/>
  <c r="AU6" i="3"/>
  <c r="AU7" i="3"/>
  <c r="AU2" i="3"/>
  <c r="AT3" i="3"/>
  <c r="AT4" i="3"/>
  <c r="AT5" i="3"/>
  <c r="AT6" i="3"/>
  <c r="AT7" i="3"/>
  <c r="AT2" i="3"/>
  <c r="AS3" i="3"/>
  <c r="AS4" i="3"/>
  <c r="AS5" i="3"/>
  <c r="AS6" i="3"/>
  <c r="AS7" i="3"/>
  <c r="AS2" i="3"/>
  <c r="AR3" i="3"/>
  <c r="AR4" i="3"/>
  <c r="AR5" i="3"/>
  <c r="AR6" i="3"/>
  <c r="AR7" i="3"/>
  <c r="AR2" i="3"/>
  <c r="AQ3" i="3"/>
  <c r="AQ4" i="3"/>
  <c r="AQ5" i="3"/>
  <c r="AQ6" i="3"/>
  <c r="AQ7" i="3"/>
  <c r="AQ2" i="3"/>
  <c r="AP3" i="3"/>
  <c r="AP4" i="3"/>
  <c r="AP5" i="3"/>
  <c r="AP6" i="3"/>
  <c r="AP7" i="3"/>
  <c r="AP2" i="3"/>
  <c r="AO3" i="3"/>
  <c r="AO4" i="3"/>
  <c r="AO5" i="3"/>
  <c r="AO6" i="3"/>
  <c r="AO7" i="3"/>
  <c r="AO2" i="3"/>
  <c r="AN3" i="3"/>
  <c r="AN4" i="3"/>
  <c r="AN5" i="3"/>
  <c r="AN6" i="3"/>
  <c r="AN7" i="3"/>
  <c r="AN2" i="3"/>
  <c r="AM3" i="3"/>
  <c r="AM4" i="3"/>
  <c r="AM5" i="3"/>
  <c r="AM6" i="3"/>
  <c r="AM7" i="3"/>
  <c r="AM2" i="3"/>
  <c r="AL3" i="3"/>
  <c r="AL4" i="3"/>
  <c r="AL5" i="3"/>
  <c r="AL6" i="3"/>
  <c r="AL7" i="3"/>
  <c r="AL2" i="3"/>
  <c r="AK3" i="3"/>
  <c r="AK4" i="3"/>
  <c r="AK5" i="3"/>
  <c r="AK6" i="3"/>
  <c r="AK7" i="3"/>
  <c r="AK2" i="3"/>
  <c r="AJ3" i="3"/>
  <c r="AJ4" i="3"/>
  <c r="AJ5" i="3"/>
  <c r="AJ6" i="3"/>
  <c r="AJ7" i="3"/>
  <c r="AJ2" i="3"/>
  <c r="AI3" i="3"/>
  <c r="AI4" i="3"/>
  <c r="AI5" i="3"/>
  <c r="AI6" i="3"/>
  <c r="AI7" i="3"/>
  <c r="AI2" i="3"/>
  <c r="AH3" i="3"/>
  <c r="AH4" i="3"/>
  <c r="AH5" i="3"/>
  <c r="AH6" i="3"/>
  <c r="AH7" i="3"/>
  <c r="AH2" i="3"/>
  <c r="AG3" i="3"/>
  <c r="AG4" i="3"/>
  <c r="AG5" i="3"/>
  <c r="AG6" i="3"/>
  <c r="AG7" i="3"/>
  <c r="AG2" i="3"/>
  <c r="AF3" i="3"/>
  <c r="AF4" i="3"/>
  <c r="AF5" i="3"/>
  <c r="AF6" i="3"/>
  <c r="AF7" i="3"/>
  <c r="AF2" i="3"/>
  <c r="AE3" i="3"/>
  <c r="AE4" i="3"/>
  <c r="AE5" i="3"/>
  <c r="AE6" i="3"/>
  <c r="AE7" i="3"/>
  <c r="AE2" i="3"/>
  <c r="AD3" i="3"/>
  <c r="AD4" i="3"/>
  <c r="AD5" i="3"/>
  <c r="AD6" i="3"/>
  <c r="AD7" i="3"/>
  <c r="AD2" i="3"/>
  <c r="AC3" i="3"/>
  <c r="AC4" i="3"/>
  <c r="AC5" i="3"/>
  <c r="AC6" i="3"/>
  <c r="AC7" i="3"/>
  <c r="AC2" i="3"/>
  <c r="AB3" i="3"/>
  <c r="AB4" i="3"/>
  <c r="AB5" i="3"/>
  <c r="AB6" i="3"/>
  <c r="AB7" i="3"/>
  <c r="AB2" i="3"/>
  <c r="AD3" i="2"/>
  <c r="AD4" i="2"/>
  <c r="AD5" i="2"/>
  <c r="AD6" i="2"/>
  <c r="AD7" i="2"/>
  <c r="AD2" i="2"/>
  <c r="AC3" i="2"/>
  <c r="AC4" i="2"/>
  <c r="AC5" i="2"/>
  <c r="AC6" i="2"/>
  <c r="AC7" i="2"/>
  <c r="AC2" i="2"/>
  <c r="AB3" i="2"/>
  <c r="AB4" i="2"/>
  <c r="AB5" i="2"/>
  <c r="AB6" i="2"/>
  <c r="AB7" i="2"/>
  <c r="AB2" i="2"/>
  <c r="AA3" i="2"/>
  <c r="AA4" i="2"/>
  <c r="AA5" i="2"/>
  <c r="AA6" i="2"/>
  <c r="AA7" i="2"/>
  <c r="AA2" i="2"/>
  <c r="Z3" i="2"/>
  <c r="Z4" i="2"/>
  <c r="Z5" i="2"/>
  <c r="Z6" i="2"/>
  <c r="Z7" i="2"/>
  <c r="Z2" i="2"/>
  <c r="Y3" i="2"/>
  <c r="Y4" i="2"/>
  <c r="Y5" i="2"/>
  <c r="Y6" i="2"/>
  <c r="Y7" i="2"/>
  <c r="Y2" i="2"/>
  <c r="X3" i="2"/>
  <c r="X4" i="2"/>
  <c r="X5" i="2"/>
  <c r="X6" i="2"/>
  <c r="X7" i="2"/>
  <c r="X2" i="2"/>
  <c r="W3" i="2"/>
  <c r="W4" i="2"/>
  <c r="W5" i="2"/>
  <c r="W6" i="2"/>
  <c r="W7" i="2"/>
  <c r="W2" i="2"/>
  <c r="V3" i="2"/>
  <c r="V4" i="2"/>
  <c r="V5" i="2"/>
  <c r="V6" i="2"/>
  <c r="V7" i="2"/>
  <c r="V2" i="2"/>
  <c r="U3" i="2"/>
  <c r="U4" i="2"/>
  <c r="U5" i="2"/>
  <c r="U6" i="2"/>
  <c r="U7" i="2"/>
  <c r="U2" i="2"/>
  <c r="T3" i="2"/>
  <c r="T4" i="2"/>
  <c r="T5" i="2"/>
  <c r="T6" i="2"/>
  <c r="T7" i="2"/>
  <c r="T2" i="2"/>
  <c r="S3" i="2"/>
  <c r="S4" i="2"/>
  <c r="S5" i="2"/>
  <c r="S6" i="2"/>
  <c r="S7" i="2"/>
  <c r="S2" i="2"/>
</calcChain>
</file>

<file path=xl/sharedStrings.xml><?xml version="1.0" encoding="utf-8"?>
<sst xmlns="http://schemas.openxmlformats.org/spreadsheetml/2006/main" count="183" uniqueCount="119">
  <si>
    <t>Generated: Tue Sep 23 13:30:44 2025</t>
  </si>
  <si>
    <t>Key</t>
  </si>
  <si>
    <t>Description</t>
  </si>
  <si>
    <t>Shelf</t>
  </si>
  <si>
    <t>Continental/insular shelf unit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</si>
  <si>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</si>
  <si>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</si>
  <si>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</si>
  <si>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</si>
  <si>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</si>
  <si>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</si>
  <si>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</si>
  <si>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</si>
  <si>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</si>
  <si>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</si>
  <si>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ACRO</t>
  </si>
  <si>
    <t>AGAR</t>
  </si>
  <si>
    <t>COLP</t>
  </si>
  <si>
    <t>DIPL</t>
  </si>
  <si>
    <t>MEAN</t>
  </si>
  <si>
    <t>MILL</t>
  </si>
  <si>
    <t>MONT</t>
  </si>
  <si>
    <t>ORBI</t>
  </si>
  <si>
    <t>PORI</t>
  </si>
  <si>
    <t>PSEU</t>
  </si>
  <si>
    <t>SIDE</t>
  </si>
  <si>
    <t>STEP</t>
  </si>
  <si>
    <t>ACER</t>
  </si>
  <si>
    <t>APAL</t>
  </si>
  <si>
    <t>AAGA</t>
  </si>
  <si>
    <t>ATEN</t>
  </si>
  <si>
    <t>CNAT</t>
  </si>
  <si>
    <t>DLAB</t>
  </si>
  <si>
    <t>MALC</t>
  </si>
  <si>
    <t>MCOM</t>
  </si>
  <si>
    <t>MMEA</t>
  </si>
  <si>
    <t>MCAV</t>
  </si>
  <si>
    <t>OANN</t>
  </si>
  <si>
    <t>OFAV</t>
  </si>
  <si>
    <t>OFRA</t>
  </si>
  <si>
    <t>PAST</t>
  </si>
  <si>
    <t>PFUR</t>
  </si>
  <si>
    <t>PPOR</t>
  </si>
  <si>
    <t>PCLI</t>
  </si>
  <si>
    <t>PSTR</t>
  </si>
  <si>
    <t>SSID</t>
  </si>
  <si>
    <t>SINT</t>
  </si>
  <si>
    <r>
      <t>Acropora</t>
    </r>
    <r>
      <rPr>
        <sz val="10"/>
        <color theme="1"/>
        <rFont val="Arial"/>
        <family val="2"/>
      </rPr>
      <t xml:space="preserve"> (Genus)</t>
    </r>
  </si>
  <si>
    <r>
      <t>Agaricia</t>
    </r>
    <r>
      <rPr>
        <sz val="10"/>
        <color theme="1"/>
        <rFont val="Arial"/>
        <family val="2"/>
      </rPr>
      <t xml:space="preserve"> (Genus)</t>
    </r>
  </si>
  <si>
    <r>
      <t>Colpophyllia</t>
    </r>
    <r>
      <rPr>
        <sz val="10"/>
        <color theme="1"/>
        <rFont val="Arial"/>
        <family val="2"/>
      </rPr>
      <t xml:space="preserve"> (Genus)</t>
    </r>
  </si>
  <si>
    <r>
      <t>Diploria</t>
    </r>
    <r>
      <rPr>
        <sz val="10"/>
        <color theme="1"/>
        <rFont val="Arial"/>
        <family val="2"/>
      </rPr>
      <t xml:space="preserve"> (Genus)</t>
    </r>
  </si>
  <si>
    <r>
      <t>Meandrina</t>
    </r>
    <r>
      <rPr>
        <sz val="10"/>
        <color theme="1"/>
        <rFont val="Arial"/>
        <family val="2"/>
      </rPr>
      <t xml:space="preserve"> (Genus)</t>
    </r>
  </si>
  <si>
    <r>
      <t>Millepora</t>
    </r>
    <r>
      <rPr>
        <sz val="10"/>
        <color theme="1"/>
        <rFont val="Arial"/>
        <family val="2"/>
      </rPr>
      <t xml:space="preserve"> (Genus)</t>
    </r>
  </si>
  <si>
    <r>
      <t>Montastraea</t>
    </r>
    <r>
      <rPr>
        <sz val="10"/>
        <color theme="1"/>
        <rFont val="Arial"/>
        <family val="2"/>
      </rPr>
      <t xml:space="preserve"> (Genus)</t>
    </r>
  </si>
  <si>
    <r>
      <t>Orbicella</t>
    </r>
    <r>
      <rPr>
        <sz val="10"/>
        <color theme="1"/>
        <rFont val="Arial"/>
        <family val="2"/>
      </rPr>
      <t xml:space="preserve"> (Genus)</t>
    </r>
  </si>
  <si>
    <r>
      <t>Porites</t>
    </r>
    <r>
      <rPr>
        <sz val="10"/>
        <color theme="1"/>
        <rFont val="Arial"/>
        <family val="2"/>
      </rPr>
      <t xml:space="preserve"> (Genus)</t>
    </r>
  </si>
  <si>
    <r>
      <t>Pseudodiploria</t>
    </r>
    <r>
      <rPr>
        <sz val="10"/>
        <color theme="1"/>
        <rFont val="Arial"/>
        <family val="2"/>
      </rPr>
      <t xml:space="preserve"> (Genus)</t>
    </r>
  </si>
  <si>
    <r>
      <t>Siderastrea</t>
    </r>
    <r>
      <rPr>
        <sz val="10"/>
        <color theme="1"/>
        <rFont val="Arial"/>
        <family val="2"/>
      </rPr>
      <t xml:space="preserve"> (Genus)</t>
    </r>
  </si>
  <si>
    <r>
      <t>Stephanocoenia</t>
    </r>
    <r>
      <rPr>
        <sz val="10"/>
        <color theme="1"/>
        <rFont val="Arial"/>
        <family val="2"/>
      </rPr>
      <t xml:space="preserve"> (Genus)</t>
    </r>
  </si>
  <si>
    <r>
      <t>Acropora cervicornis</t>
    </r>
    <r>
      <rPr>
        <sz val="10"/>
        <color theme="1"/>
        <rFont val="Arial"/>
        <family val="2"/>
      </rPr>
      <t xml:space="preserve"> (Species)</t>
    </r>
  </si>
  <si>
    <r>
      <t>Acropora palmata</t>
    </r>
    <r>
      <rPr>
        <sz val="10"/>
        <color theme="1"/>
        <rFont val="Arial"/>
        <family val="2"/>
      </rPr>
      <t xml:space="preserve"> (Species)</t>
    </r>
  </si>
  <si>
    <r>
      <t>Agaricia agaricites</t>
    </r>
    <r>
      <rPr>
        <sz val="10"/>
        <color theme="1"/>
        <rFont val="Arial"/>
        <family val="2"/>
      </rPr>
      <t xml:space="preserve"> (Species)</t>
    </r>
  </si>
  <si>
    <r>
      <t>Agaricia tenuifolia</t>
    </r>
    <r>
      <rPr>
        <sz val="10"/>
        <color theme="1"/>
        <rFont val="Arial"/>
        <family val="2"/>
      </rPr>
      <t xml:space="preserve"> (Species)</t>
    </r>
  </si>
  <si>
    <r>
      <t>Agaricia</t>
    </r>
    <r>
      <rPr>
        <sz val="10"/>
        <color theme="1"/>
        <rFont val="Arial"/>
        <family val="2"/>
      </rPr>
      <t xml:space="preserve"> sp. (Species)</t>
    </r>
  </si>
  <si>
    <r>
      <t>Colpophyllia natans</t>
    </r>
    <r>
      <rPr>
        <sz val="10"/>
        <color theme="1"/>
        <rFont val="Arial"/>
        <family val="2"/>
      </rPr>
      <t xml:space="preserve"> (Species)</t>
    </r>
  </si>
  <si>
    <r>
      <t>Diploria labrynthiformis</t>
    </r>
    <r>
      <rPr>
        <sz val="10"/>
        <color theme="1"/>
        <rFont val="Arial"/>
        <family val="2"/>
      </rPr>
      <t xml:space="preserve"> (Species)</t>
    </r>
  </si>
  <si>
    <r>
      <t>Millepora alcicornis</t>
    </r>
    <r>
      <rPr>
        <sz val="10"/>
        <color theme="1"/>
        <rFont val="Arial"/>
        <family val="2"/>
      </rPr>
      <t xml:space="preserve"> (Species)</t>
    </r>
  </si>
  <si>
    <r>
      <t>Millepora complanata</t>
    </r>
    <r>
      <rPr>
        <sz val="10"/>
        <color theme="1"/>
        <rFont val="Arial"/>
        <family val="2"/>
      </rPr>
      <t xml:space="preserve"> (Species)</t>
    </r>
  </si>
  <si>
    <r>
      <t>Meandrina meandrites</t>
    </r>
    <r>
      <rPr>
        <sz val="10"/>
        <color theme="1"/>
        <rFont val="Arial"/>
        <family val="2"/>
      </rPr>
      <t xml:space="preserve"> (Species)</t>
    </r>
  </si>
  <si>
    <r>
      <t>Montastraea cavernosa</t>
    </r>
    <r>
      <rPr>
        <sz val="10"/>
        <color theme="1"/>
        <rFont val="Arial"/>
        <family val="2"/>
      </rPr>
      <t xml:space="preserve"> (Species)</t>
    </r>
  </si>
  <si>
    <r>
      <t>Orbicella annularis</t>
    </r>
    <r>
      <rPr>
        <sz val="10"/>
        <color theme="1"/>
        <rFont val="Arial"/>
        <family val="2"/>
      </rPr>
      <t xml:space="preserve"> (Species)</t>
    </r>
  </si>
  <si>
    <r>
      <t>Orbicella faveolata</t>
    </r>
    <r>
      <rPr>
        <sz val="10"/>
        <color theme="1"/>
        <rFont val="Arial"/>
        <family val="2"/>
      </rPr>
      <t xml:space="preserve"> (Species)</t>
    </r>
  </si>
  <si>
    <r>
      <t>Orbicella franksi</t>
    </r>
    <r>
      <rPr>
        <sz val="10"/>
        <color theme="1"/>
        <rFont val="Arial"/>
        <family val="2"/>
      </rPr>
      <t xml:space="preserve"> (Species)</t>
    </r>
  </si>
  <si>
    <r>
      <t>Porites astreoides</t>
    </r>
    <r>
      <rPr>
        <sz val="10"/>
        <color theme="1"/>
        <rFont val="Arial"/>
        <family val="2"/>
      </rPr>
      <t xml:space="preserve"> (Species)</t>
    </r>
  </si>
  <si>
    <r>
      <t>Porites furcata</t>
    </r>
    <r>
      <rPr>
        <sz val="10"/>
        <color theme="1"/>
        <rFont val="Arial"/>
        <family val="2"/>
      </rPr>
      <t xml:space="preserve"> (Species)</t>
    </r>
  </si>
  <si>
    <r>
      <t>Porites porites</t>
    </r>
    <r>
      <rPr>
        <sz val="10"/>
        <color theme="1"/>
        <rFont val="Arial"/>
        <family val="2"/>
      </rPr>
      <t xml:space="preserve"> (Species)</t>
    </r>
  </si>
  <si>
    <r>
      <t>Pseudodiploria clivosa</t>
    </r>
    <r>
      <rPr>
        <sz val="10"/>
        <color theme="1"/>
        <rFont val="Arial"/>
        <family val="2"/>
      </rPr>
      <t xml:space="preserve"> (Species)</t>
    </r>
  </si>
  <si>
    <r>
      <t>Pseudodiploria strigosa</t>
    </r>
    <r>
      <rPr>
        <sz val="10"/>
        <color theme="1"/>
        <rFont val="Arial"/>
        <family val="2"/>
      </rPr>
      <t xml:space="preserve"> (Species)</t>
    </r>
  </si>
  <si>
    <r>
      <t>Siderastrea siderea</t>
    </r>
    <r>
      <rPr>
        <sz val="10"/>
        <color theme="1"/>
        <rFont val="Arial"/>
        <family val="2"/>
      </rPr>
      <t xml:space="preserve"> (Species)</t>
    </r>
  </si>
  <si>
    <r>
      <t>Stephanocoenia intersepta</t>
    </r>
    <r>
      <rPr>
        <sz val="10"/>
        <color theme="1"/>
        <rFont val="Arial"/>
        <family val="2"/>
      </rPr>
      <t xml:space="preserve"> (Species)</t>
    </r>
  </si>
  <si>
    <t>Antigua Shelf</t>
  </si>
  <si>
    <t>Back</t>
  </si>
  <si>
    <t>Crest</t>
  </si>
  <si>
    <t>Fore</t>
  </si>
  <si>
    <t>Intertidal Crest:Back</t>
  </si>
  <si>
    <t>Patch</t>
  </si>
  <si>
    <t>Subtidal Crest</t>
  </si>
  <si>
    <t>%ACRO</t>
  </si>
  <si>
    <t>%AGAR</t>
  </si>
  <si>
    <t>%COLP</t>
  </si>
  <si>
    <t>%DIPL</t>
  </si>
  <si>
    <t>%MEAN</t>
  </si>
  <si>
    <t>%MILL</t>
  </si>
  <si>
    <t>%MONT</t>
  </si>
  <si>
    <t>%ORBI</t>
  </si>
  <si>
    <t>%PORI</t>
  </si>
  <si>
    <t>%PSEU</t>
  </si>
  <si>
    <t>%SIDE</t>
  </si>
  <si>
    <t>%STEP</t>
  </si>
  <si>
    <t>%ACER</t>
  </si>
  <si>
    <t>%APAL</t>
  </si>
  <si>
    <t>%AAGA</t>
  </si>
  <si>
    <t>%ATEN</t>
  </si>
  <si>
    <t>%CNAT</t>
  </si>
  <si>
    <t>%DLAB</t>
  </si>
  <si>
    <t>%MALC</t>
  </si>
  <si>
    <t>%MCOM</t>
  </si>
  <si>
    <t>%MMEA</t>
  </si>
  <si>
    <t>%MCAV</t>
  </si>
  <si>
    <t>%OANN</t>
  </si>
  <si>
    <t>%OFAV</t>
  </si>
  <si>
    <t>%OFRA</t>
  </si>
  <si>
    <t>%PAST</t>
  </si>
  <si>
    <t>%PFUR</t>
  </si>
  <si>
    <t>%PPOR</t>
  </si>
  <si>
    <t>%PCLI</t>
  </si>
  <si>
    <t>%PSTR</t>
  </si>
  <si>
    <t>%SSID</t>
  </si>
  <si>
    <t>%SINT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</si>
</sst>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EDF34-F707-4755-AE47-B8691F9433CC}">
  <dimension ref="A1:B41"/>
  <sheetViews>
    <sheetView tabSelected="1" workbookViewId="0">
      <selection sqref="A1:B1"/>
    </sheetView>
  </sheetViews>
  <sheetFormatPr defaultRowHeight="12.75" x14ac:dyDescent="0.2"/>
  <cols>
    <col min="1" max="1" width="6.85546875" bestFit="1" customWidth="1"/>
    <col min="2" max="2" width="32.7109375" bestFit="1" customWidth="1"/>
  </cols>
  <sheetData>
    <row r="1" spans="1:2" x14ac:dyDescent="0.2">
      <c r="A1" s="3" t="s">
        <v>0</v>
      </c>
      <c r="B1" s="3"/>
    </row>
    <row r="2" spans="1:2" x14ac:dyDescent="0.2">
      <c r="A2" s="4" t="s">
        <v>1</v>
      </c>
      <c r="B2" s="4" t="s">
        <v>2</v>
      </c>
    </row>
    <row r="3" spans="1:2" x14ac:dyDescent="0.2">
      <c r="A3" s="5" t="s">
        <v>3</v>
      </c>
      <c r="B3" s="1" t="s">
        <v>4</v>
      </c>
    </row>
    <row r="4" spans="1:2" x14ac:dyDescent="0.2">
      <c r="A4" s="5" t="s">
        <v>5</v>
      </c>
      <c r="B4" s="1" t="s">
        <v>6</v>
      </c>
    </row>
    <row r="5" spans="1:2" x14ac:dyDescent="0.2">
      <c r="A5" s="5" t="s">
        <v>7</v>
      </c>
      <c r="B5" s="1" t="s">
        <v>8</v>
      </c>
    </row>
    <row r="6" spans="1:2" x14ac:dyDescent="0.2">
      <c r="A6" s="5" t="s">
        <v>9</v>
      </c>
      <c r="B6" s="1" t="s">
        <v>10</v>
      </c>
    </row>
    <row r="7" spans="1:2" x14ac:dyDescent="0.2">
      <c r="A7" s="5" t="s">
        <v>11</v>
      </c>
      <c r="B7" s="1" t="s">
        <v>12</v>
      </c>
    </row>
    <row r="8" spans="1:2" x14ac:dyDescent="0.2">
      <c r="A8" s="5" t="s">
        <v>13</v>
      </c>
      <c r="B8" s="1" t="s">
        <v>14</v>
      </c>
    </row>
    <row r="9" spans="1:2" x14ac:dyDescent="0.2">
      <c r="A9" s="5" t="s">
        <v>15</v>
      </c>
      <c r="B9" s="2" t="s">
        <v>47</v>
      </c>
    </row>
    <row r="10" spans="1:2" x14ac:dyDescent="0.2">
      <c r="A10" s="5" t="s">
        <v>16</v>
      </c>
      <c r="B10" s="2" t="s">
        <v>48</v>
      </c>
    </row>
    <row r="11" spans="1:2" x14ac:dyDescent="0.2">
      <c r="A11" s="5" t="s">
        <v>17</v>
      </c>
      <c r="B11" s="2" t="s">
        <v>49</v>
      </c>
    </row>
    <row r="12" spans="1:2" x14ac:dyDescent="0.2">
      <c r="A12" s="5" t="s">
        <v>18</v>
      </c>
      <c r="B12" s="2" t="s">
        <v>50</v>
      </c>
    </row>
    <row r="13" spans="1:2" x14ac:dyDescent="0.2">
      <c r="A13" s="5" t="s">
        <v>19</v>
      </c>
      <c r="B13" s="2" t="s">
        <v>51</v>
      </c>
    </row>
    <row r="14" spans="1:2" x14ac:dyDescent="0.2">
      <c r="A14" s="5" t="s">
        <v>20</v>
      </c>
      <c r="B14" s="2" t="s">
        <v>52</v>
      </c>
    </row>
    <row r="15" spans="1:2" x14ac:dyDescent="0.2">
      <c r="A15" s="5" t="s">
        <v>21</v>
      </c>
      <c r="B15" s="2" t="s">
        <v>53</v>
      </c>
    </row>
    <row r="16" spans="1:2" x14ac:dyDescent="0.2">
      <c r="A16" s="5" t="s">
        <v>22</v>
      </c>
      <c r="B16" s="2" t="s">
        <v>54</v>
      </c>
    </row>
    <row r="17" spans="1:2" x14ac:dyDescent="0.2">
      <c r="A17" s="5" t="s">
        <v>23</v>
      </c>
      <c r="B17" s="2" t="s">
        <v>55</v>
      </c>
    </row>
    <row r="18" spans="1:2" x14ac:dyDescent="0.2">
      <c r="A18" s="5" t="s">
        <v>24</v>
      </c>
      <c r="B18" s="2" t="s">
        <v>56</v>
      </c>
    </row>
    <row r="19" spans="1:2" x14ac:dyDescent="0.2">
      <c r="A19" s="5" t="s">
        <v>25</v>
      </c>
      <c r="B19" s="2" t="s">
        <v>57</v>
      </c>
    </row>
    <row r="20" spans="1:2" x14ac:dyDescent="0.2">
      <c r="A20" s="5" t="s">
        <v>26</v>
      </c>
      <c r="B20" s="2" t="s">
        <v>58</v>
      </c>
    </row>
    <row r="21" spans="1:2" x14ac:dyDescent="0.2">
      <c r="A21" s="5" t="s">
        <v>27</v>
      </c>
      <c r="B21" s="2" t="s">
        <v>59</v>
      </c>
    </row>
    <row r="22" spans="1:2" x14ac:dyDescent="0.2">
      <c r="A22" s="5" t="s">
        <v>28</v>
      </c>
      <c r="B22" s="2" t="s">
        <v>60</v>
      </c>
    </row>
    <row r="23" spans="1:2" x14ac:dyDescent="0.2">
      <c r="A23" s="5" t="s">
        <v>29</v>
      </c>
      <c r="B23" s="2" t="s">
        <v>61</v>
      </c>
    </row>
    <row r="24" spans="1:2" x14ac:dyDescent="0.2">
      <c r="A24" s="5" t="s">
        <v>30</v>
      </c>
      <c r="B24" s="2" t="s">
        <v>62</v>
      </c>
    </row>
    <row r="25" spans="1:2" x14ac:dyDescent="0.2">
      <c r="A25" s="5" t="s">
        <v>16</v>
      </c>
      <c r="B25" s="2" t="s">
        <v>63</v>
      </c>
    </row>
    <row r="26" spans="1:2" x14ac:dyDescent="0.2">
      <c r="A26" s="5" t="s">
        <v>31</v>
      </c>
      <c r="B26" s="2" t="s">
        <v>64</v>
      </c>
    </row>
    <row r="27" spans="1:2" x14ac:dyDescent="0.2">
      <c r="A27" s="5" t="s">
        <v>32</v>
      </c>
      <c r="B27" s="2" t="s">
        <v>65</v>
      </c>
    </row>
    <row r="28" spans="1:2" x14ac:dyDescent="0.2">
      <c r="A28" s="5" t="s">
        <v>33</v>
      </c>
      <c r="B28" s="2" t="s">
        <v>66</v>
      </c>
    </row>
    <row r="29" spans="1:2" x14ac:dyDescent="0.2">
      <c r="A29" s="5" t="s">
        <v>34</v>
      </c>
      <c r="B29" s="2" t="s">
        <v>67</v>
      </c>
    </row>
    <row r="30" spans="1:2" x14ac:dyDescent="0.2">
      <c r="A30" s="5" t="s">
        <v>35</v>
      </c>
      <c r="B30" s="2" t="s">
        <v>68</v>
      </c>
    </row>
    <row r="31" spans="1:2" x14ac:dyDescent="0.2">
      <c r="A31" s="5" t="s">
        <v>36</v>
      </c>
      <c r="B31" s="2" t="s">
        <v>69</v>
      </c>
    </row>
    <row r="32" spans="1:2" x14ac:dyDescent="0.2">
      <c r="A32" s="5" t="s">
        <v>37</v>
      </c>
      <c r="B32" s="2" t="s">
        <v>70</v>
      </c>
    </row>
    <row r="33" spans="1:2" x14ac:dyDescent="0.2">
      <c r="A33" s="5" t="s">
        <v>38</v>
      </c>
      <c r="B33" s="2" t="s">
        <v>71</v>
      </c>
    </row>
    <row r="34" spans="1:2" x14ac:dyDescent="0.2">
      <c r="A34" s="5" t="s">
        <v>39</v>
      </c>
      <c r="B34" s="2" t="s">
        <v>72</v>
      </c>
    </row>
    <row r="35" spans="1:2" x14ac:dyDescent="0.2">
      <c r="A35" s="5" t="s">
        <v>40</v>
      </c>
      <c r="B35" s="2" t="s">
        <v>73</v>
      </c>
    </row>
    <row r="36" spans="1:2" x14ac:dyDescent="0.2">
      <c r="A36" s="5" t="s">
        <v>41</v>
      </c>
      <c r="B36" s="2" t="s">
        <v>74</v>
      </c>
    </row>
    <row r="37" spans="1:2" x14ac:dyDescent="0.2">
      <c r="A37" s="5" t="s">
        <v>42</v>
      </c>
      <c r="B37" s="2" t="s">
        <v>75</v>
      </c>
    </row>
    <row r="38" spans="1:2" x14ac:dyDescent="0.2">
      <c r="A38" s="5" t="s">
        <v>43</v>
      </c>
      <c r="B38" s="2" t="s">
        <v>76</v>
      </c>
    </row>
    <row r="39" spans="1:2" x14ac:dyDescent="0.2">
      <c r="A39" s="5" t="s">
        <v>44</v>
      </c>
      <c r="B39" s="2" t="s">
        <v>77</v>
      </c>
    </row>
    <row r="40" spans="1:2" x14ac:dyDescent="0.2">
      <c r="A40" s="5" t="s">
        <v>45</v>
      </c>
      <c r="B40" s="2" t="s">
        <v>78</v>
      </c>
    </row>
    <row r="41" spans="1:2" x14ac:dyDescent="0.2">
      <c r="A41" s="5" t="s">
        <v>46</v>
      </c>
      <c r="B41" s="2" t="s">
        <v>79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56049-7570-4FBC-823F-DEEE88CD6DE5}">
  <dimension ref="A1:AD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7" customWidth="1"/>
    <col min="4" max="4" width="4.7109375" style="6" customWidth="1"/>
    <col min="5" max="6" width="5.7109375" style="6" customWidth="1"/>
    <col min="7" max="18" width="6.7109375" style="6" customWidth="1"/>
    <col min="19" max="30" width="8.7109375" style="6" customWidth="1"/>
  </cols>
  <sheetData>
    <row r="1" spans="1:30" x14ac:dyDescent="0.2">
      <c r="A1" s="4" t="s">
        <v>3</v>
      </c>
      <c r="B1" s="4" t="s">
        <v>5</v>
      </c>
      <c r="C1" s="4" t="s">
        <v>7</v>
      </c>
      <c r="D1" s="4" t="s">
        <v>9</v>
      </c>
      <c r="E1" s="4" t="s">
        <v>11</v>
      </c>
      <c r="F1" s="10" t="s">
        <v>13</v>
      </c>
      <c r="G1" s="9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25</v>
      </c>
      <c r="R1" s="10" t="s">
        <v>26</v>
      </c>
      <c r="S1" s="9" t="s">
        <v>87</v>
      </c>
      <c r="T1" s="4" t="s">
        <v>88</v>
      </c>
      <c r="U1" s="4" t="s">
        <v>89</v>
      </c>
      <c r="V1" s="4" t="s">
        <v>90</v>
      </c>
      <c r="W1" s="4" t="s">
        <v>91</v>
      </c>
      <c r="X1" s="4" t="s">
        <v>92</v>
      </c>
      <c r="Y1" s="4" t="s">
        <v>93</v>
      </c>
      <c r="Z1" s="4" t="s">
        <v>94</v>
      </c>
      <c r="AA1" s="4" t="s">
        <v>95</v>
      </c>
      <c r="AB1" s="4" t="s">
        <v>96</v>
      </c>
      <c r="AC1" s="4" t="s">
        <v>97</v>
      </c>
      <c r="AD1" s="10" t="s">
        <v>98</v>
      </c>
    </row>
    <row r="2" spans="1:30" x14ac:dyDescent="0.2">
      <c r="A2" s="8" t="s">
        <v>80</v>
      </c>
      <c r="B2" s="8" t="s">
        <v>81</v>
      </c>
      <c r="C2" s="7">
        <v>4.5</v>
      </c>
      <c r="D2" s="6">
        <v>3</v>
      </c>
      <c r="E2" s="6">
        <v>14</v>
      </c>
      <c r="F2" s="11">
        <v>166</v>
      </c>
      <c r="G2" s="6">
        <v>10</v>
      </c>
      <c r="H2" s="6">
        <v>1</v>
      </c>
      <c r="I2" s="6">
        <v>2</v>
      </c>
      <c r="J2" s="6">
        <v>4</v>
      </c>
      <c r="K2" s="6">
        <v>0</v>
      </c>
      <c r="L2" s="6">
        <v>10</v>
      </c>
      <c r="M2" s="6">
        <v>3</v>
      </c>
      <c r="N2" s="6">
        <v>95</v>
      </c>
      <c r="O2" s="6">
        <v>36</v>
      </c>
      <c r="P2" s="6">
        <v>3</v>
      </c>
      <c r="Q2" s="6">
        <v>1</v>
      </c>
      <c r="R2" s="11">
        <v>0</v>
      </c>
      <c r="S2" s="6">
        <f>IF(G2=0,"",G2/$F2*100)</f>
        <v>6.024096385542169</v>
      </c>
      <c r="T2" s="6">
        <f>IF(H2=0,"",H2/$F2*100)</f>
        <v>0.60240963855421692</v>
      </c>
      <c r="U2" s="6">
        <f>IF(I2=0,"",I2/$F2*100)</f>
        <v>1.2048192771084338</v>
      </c>
      <c r="V2" s="6">
        <f>IF(J2=0,"",J2/$F2*100)</f>
        <v>2.4096385542168677</v>
      </c>
      <c r="W2" s="6" t="str">
        <f>IF(K2=0,"",K2/$F2*100)</f>
        <v/>
      </c>
      <c r="X2" s="6">
        <f>IF(L2=0,"",L2/$F2*100)</f>
        <v>6.024096385542169</v>
      </c>
      <c r="Y2" s="6">
        <f>IF(M2=0,"",M2/$F2*100)</f>
        <v>1.8072289156626504</v>
      </c>
      <c r="Z2" s="6">
        <f>IF(N2=0,"",N2/$F2*100)</f>
        <v>57.228915662650607</v>
      </c>
      <c r="AA2" s="6">
        <f>IF(O2=0,"",O2/$F2*100)</f>
        <v>21.686746987951807</v>
      </c>
      <c r="AB2" s="6">
        <f>IF(P2=0,"",P2/$F2*100)</f>
        <v>1.8072289156626504</v>
      </c>
      <c r="AC2" s="6">
        <f>IF(Q2=0,"",Q2/$F2*100)</f>
        <v>0.60240963855421692</v>
      </c>
      <c r="AD2" s="11" t="str">
        <f>IF(R2=0,"",R2/$F2*100)</f>
        <v/>
      </c>
    </row>
    <row r="3" spans="1:30" x14ac:dyDescent="0.2">
      <c r="A3" s="8" t="s">
        <v>80</v>
      </c>
      <c r="B3" s="8" t="s">
        <v>82</v>
      </c>
      <c r="C3" s="7">
        <v>3.6</v>
      </c>
      <c r="D3" s="6">
        <v>2</v>
      </c>
      <c r="E3" s="6">
        <v>12</v>
      </c>
      <c r="F3" s="11">
        <v>85</v>
      </c>
      <c r="G3" s="6">
        <v>41</v>
      </c>
      <c r="H3" s="6">
        <v>5</v>
      </c>
      <c r="I3" s="6">
        <v>0</v>
      </c>
      <c r="J3" s="6">
        <v>1</v>
      </c>
      <c r="K3" s="6">
        <v>0</v>
      </c>
      <c r="L3" s="6">
        <v>4</v>
      </c>
      <c r="M3" s="6">
        <v>0</v>
      </c>
      <c r="N3" s="6">
        <v>2</v>
      </c>
      <c r="O3" s="6">
        <v>16</v>
      </c>
      <c r="P3" s="6">
        <v>15</v>
      </c>
      <c r="Q3" s="6">
        <v>0</v>
      </c>
      <c r="R3" s="11">
        <v>0</v>
      </c>
      <c r="S3" s="6">
        <f t="shared" ref="S3:S7" si="0">IF(G3=0,"",G3/$F3*100)</f>
        <v>48.235294117647058</v>
      </c>
      <c r="T3" s="6">
        <f t="shared" ref="T3:T7" si="1">IF(H3=0,"",H3/$F3*100)</f>
        <v>5.8823529411764701</v>
      </c>
      <c r="U3" s="6" t="str">
        <f t="shared" ref="U3:U7" si="2">IF(I3=0,"",I3/$F3*100)</f>
        <v/>
      </c>
      <c r="V3" s="6">
        <f t="shared" ref="V3:V7" si="3">IF(J3=0,"",J3/$F3*100)</f>
        <v>1.1764705882352942</v>
      </c>
      <c r="W3" s="6" t="str">
        <f t="shared" ref="W3:W7" si="4">IF(K3=0,"",K3/$F3*100)</f>
        <v/>
      </c>
      <c r="X3" s="6">
        <f t="shared" ref="X3:X7" si="5">IF(L3=0,"",L3/$F3*100)</f>
        <v>4.7058823529411766</v>
      </c>
      <c r="Y3" s="6" t="str">
        <f t="shared" ref="Y3:Y7" si="6">IF(M3=0,"",M3/$F3*100)</f>
        <v/>
      </c>
      <c r="Z3" s="6">
        <f t="shared" ref="Z3:Z7" si="7">IF(N3=0,"",N3/$F3*100)</f>
        <v>2.3529411764705883</v>
      </c>
      <c r="AA3" s="6">
        <f t="shared" ref="AA3:AA7" si="8">IF(O3=0,"",O3/$F3*100)</f>
        <v>18.823529411764707</v>
      </c>
      <c r="AB3" s="6">
        <f t="shared" ref="AB3:AB7" si="9">IF(P3=0,"",P3/$F3*100)</f>
        <v>17.647058823529413</v>
      </c>
      <c r="AC3" s="6" t="str">
        <f t="shared" ref="AC3:AC7" si="10">IF(Q3=0,"",Q3/$F3*100)</f>
        <v/>
      </c>
      <c r="AD3" s="11" t="str">
        <f t="shared" ref="AD3:AD7" si="11">IF(R3=0,"",R3/$F3*100)</f>
        <v/>
      </c>
    </row>
    <row r="4" spans="1:30" x14ac:dyDescent="0.2">
      <c r="A4" s="8" t="s">
        <v>80</v>
      </c>
      <c r="B4" s="8" t="s">
        <v>83</v>
      </c>
      <c r="C4" s="7">
        <v>9.1999999999999993</v>
      </c>
      <c r="D4" s="6">
        <v>12</v>
      </c>
      <c r="E4" s="6">
        <v>57</v>
      </c>
      <c r="F4" s="11">
        <v>661</v>
      </c>
      <c r="G4" s="6">
        <v>91</v>
      </c>
      <c r="H4" s="6">
        <v>20</v>
      </c>
      <c r="I4" s="6">
        <v>7</v>
      </c>
      <c r="J4" s="6">
        <v>12</v>
      </c>
      <c r="K4" s="6">
        <v>1</v>
      </c>
      <c r="L4" s="6">
        <v>75</v>
      </c>
      <c r="M4" s="6">
        <v>15</v>
      </c>
      <c r="N4" s="6">
        <v>164</v>
      </c>
      <c r="O4" s="6">
        <v>184</v>
      </c>
      <c r="P4" s="6">
        <v>65</v>
      </c>
      <c r="Q4" s="6">
        <v>17</v>
      </c>
      <c r="R4" s="11">
        <v>6</v>
      </c>
      <c r="S4" s="6">
        <f t="shared" si="0"/>
        <v>13.767019667170954</v>
      </c>
      <c r="T4" s="6">
        <f t="shared" si="1"/>
        <v>3.0257186081694405</v>
      </c>
      <c r="U4" s="6">
        <f t="shared" si="2"/>
        <v>1.059001512859304</v>
      </c>
      <c r="V4" s="6">
        <f t="shared" si="3"/>
        <v>1.8154311649016641</v>
      </c>
      <c r="W4" s="6">
        <f t="shared" si="4"/>
        <v>0.15128593040847202</v>
      </c>
      <c r="X4" s="6">
        <f t="shared" si="5"/>
        <v>11.346444780635402</v>
      </c>
      <c r="Y4" s="6">
        <f t="shared" si="6"/>
        <v>2.2692889561270801</v>
      </c>
      <c r="Z4" s="6">
        <f t="shared" si="7"/>
        <v>24.810892586989411</v>
      </c>
      <c r="AA4" s="6">
        <f t="shared" si="8"/>
        <v>27.836611195158849</v>
      </c>
      <c r="AB4" s="6">
        <f t="shared" si="9"/>
        <v>9.8335854765506809</v>
      </c>
      <c r="AC4" s="6">
        <f t="shared" si="10"/>
        <v>2.5718608169440245</v>
      </c>
      <c r="AD4" s="11">
        <f t="shared" si="11"/>
        <v>0.90771558245083206</v>
      </c>
    </row>
    <row r="5" spans="1:30" x14ac:dyDescent="0.2">
      <c r="A5" s="8" t="s">
        <v>80</v>
      </c>
      <c r="B5" s="8" t="s">
        <v>84</v>
      </c>
      <c r="C5" s="7">
        <v>2.1</v>
      </c>
      <c r="D5" s="6">
        <v>2</v>
      </c>
      <c r="E5" s="6">
        <v>4</v>
      </c>
      <c r="F5" s="11">
        <v>65</v>
      </c>
      <c r="G5" s="6">
        <v>11</v>
      </c>
      <c r="H5" s="6">
        <v>0</v>
      </c>
      <c r="I5" s="6">
        <v>0</v>
      </c>
      <c r="J5" s="6">
        <v>8</v>
      </c>
      <c r="K5" s="6">
        <v>0</v>
      </c>
      <c r="L5" s="6">
        <v>2</v>
      </c>
      <c r="M5" s="6">
        <v>0</v>
      </c>
      <c r="N5" s="6">
        <v>22</v>
      </c>
      <c r="O5" s="6">
        <v>15</v>
      </c>
      <c r="P5" s="6">
        <v>5</v>
      </c>
      <c r="Q5" s="6">
        <v>2</v>
      </c>
      <c r="R5" s="11">
        <v>0</v>
      </c>
      <c r="S5" s="6">
        <f t="shared" si="0"/>
        <v>16.923076923076923</v>
      </c>
      <c r="T5" s="6" t="str">
        <f t="shared" si="1"/>
        <v/>
      </c>
      <c r="U5" s="6" t="str">
        <f t="shared" si="2"/>
        <v/>
      </c>
      <c r="V5" s="6">
        <f t="shared" si="3"/>
        <v>12.307692307692308</v>
      </c>
      <c r="W5" s="6" t="str">
        <f t="shared" si="4"/>
        <v/>
      </c>
      <c r="X5" s="6">
        <f t="shared" si="5"/>
        <v>3.0769230769230771</v>
      </c>
      <c r="Y5" s="6" t="str">
        <f t="shared" si="6"/>
        <v/>
      </c>
      <c r="Z5" s="6">
        <f t="shared" si="7"/>
        <v>33.846153846153847</v>
      </c>
      <c r="AA5" s="6">
        <f t="shared" si="8"/>
        <v>23.076923076923077</v>
      </c>
      <c r="AB5" s="6">
        <f t="shared" si="9"/>
        <v>7.6923076923076925</v>
      </c>
      <c r="AC5" s="6">
        <f t="shared" si="10"/>
        <v>3.0769230769230771</v>
      </c>
      <c r="AD5" s="11" t="str">
        <f t="shared" si="11"/>
        <v/>
      </c>
    </row>
    <row r="6" spans="1:30" x14ac:dyDescent="0.2">
      <c r="A6" s="8" t="s">
        <v>80</v>
      </c>
      <c r="B6" s="8" t="s">
        <v>85</v>
      </c>
      <c r="C6" s="7">
        <v>3.4</v>
      </c>
      <c r="D6" s="6">
        <v>2</v>
      </c>
      <c r="E6" s="6">
        <v>12</v>
      </c>
      <c r="F6" s="11">
        <v>141</v>
      </c>
      <c r="G6" s="6">
        <v>43</v>
      </c>
      <c r="H6" s="6">
        <v>3</v>
      </c>
      <c r="I6" s="6">
        <v>0</v>
      </c>
      <c r="J6" s="6">
        <v>5</v>
      </c>
      <c r="K6" s="6">
        <v>0</v>
      </c>
      <c r="L6" s="6">
        <v>5</v>
      </c>
      <c r="M6" s="6">
        <v>0</v>
      </c>
      <c r="N6" s="6">
        <v>46</v>
      </c>
      <c r="O6" s="6">
        <v>35</v>
      </c>
      <c r="P6" s="6">
        <v>4</v>
      </c>
      <c r="Q6" s="6">
        <v>0</v>
      </c>
      <c r="R6" s="11">
        <v>0</v>
      </c>
      <c r="S6" s="6">
        <f t="shared" si="0"/>
        <v>30.49645390070922</v>
      </c>
      <c r="T6" s="6">
        <f t="shared" si="1"/>
        <v>2.1276595744680851</v>
      </c>
      <c r="U6" s="6" t="str">
        <f t="shared" si="2"/>
        <v/>
      </c>
      <c r="V6" s="6">
        <f t="shared" si="3"/>
        <v>3.5460992907801421</v>
      </c>
      <c r="W6" s="6" t="str">
        <f t="shared" si="4"/>
        <v/>
      </c>
      <c r="X6" s="6">
        <f t="shared" si="5"/>
        <v>3.5460992907801421</v>
      </c>
      <c r="Y6" s="6" t="str">
        <f t="shared" si="6"/>
        <v/>
      </c>
      <c r="Z6" s="6">
        <f t="shared" si="7"/>
        <v>32.62411347517731</v>
      </c>
      <c r="AA6" s="6">
        <f t="shared" si="8"/>
        <v>24.822695035460992</v>
      </c>
      <c r="AB6" s="6">
        <f t="shared" si="9"/>
        <v>2.8368794326241136</v>
      </c>
      <c r="AC6" s="6" t="str">
        <f t="shared" si="10"/>
        <v/>
      </c>
      <c r="AD6" s="11" t="str">
        <f t="shared" si="11"/>
        <v/>
      </c>
    </row>
    <row r="7" spans="1:30" x14ac:dyDescent="0.2">
      <c r="A7" s="8" t="s">
        <v>80</v>
      </c>
      <c r="B7" s="8" t="s">
        <v>86</v>
      </c>
      <c r="C7" s="7">
        <v>4.0999999999999996</v>
      </c>
      <c r="D7" s="6">
        <v>1</v>
      </c>
      <c r="E7" s="6">
        <v>2</v>
      </c>
      <c r="F7" s="11">
        <v>40</v>
      </c>
      <c r="G7" s="6">
        <v>4</v>
      </c>
      <c r="H7" s="6">
        <v>5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3</v>
      </c>
      <c r="O7" s="6">
        <v>21</v>
      </c>
      <c r="P7" s="6">
        <v>7</v>
      </c>
      <c r="Q7" s="6">
        <v>0</v>
      </c>
      <c r="R7" s="11">
        <v>0</v>
      </c>
      <c r="S7" s="6">
        <f t="shared" si="0"/>
        <v>10</v>
      </c>
      <c r="T7" s="6">
        <f t="shared" si="1"/>
        <v>12.5</v>
      </c>
      <c r="U7" s="6" t="str">
        <f t="shared" si="2"/>
        <v/>
      </c>
      <c r="V7" s="6" t="str">
        <f t="shared" si="3"/>
        <v/>
      </c>
      <c r="W7" s="6" t="str">
        <f t="shared" si="4"/>
        <v/>
      </c>
      <c r="X7" s="6" t="str">
        <f t="shared" si="5"/>
        <v/>
      </c>
      <c r="Y7" s="6" t="str">
        <f t="shared" si="6"/>
        <v/>
      </c>
      <c r="Z7" s="6">
        <f t="shared" si="7"/>
        <v>7.5</v>
      </c>
      <c r="AA7" s="6">
        <f t="shared" si="8"/>
        <v>52.5</v>
      </c>
      <c r="AB7" s="6">
        <f t="shared" si="9"/>
        <v>17.5</v>
      </c>
      <c r="AC7" s="6" t="str">
        <f t="shared" si="10"/>
        <v/>
      </c>
      <c r="AD7" s="11" t="str">
        <f t="shared" si="11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B451-9215-47F3-BE25-0AAD66385547}">
  <dimension ref="A1:AV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7" customWidth="1"/>
    <col min="4" max="4" width="4.7109375" style="6" customWidth="1"/>
    <col min="5" max="6" width="5.7109375" style="6" customWidth="1"/>
    <col min="7" max="27" width="6.7109375" style="6" customWidth="1"/>
    <col min="28" max="48" width="8.7109375" style="6" customWidth="1"/>
  </cols>
  <sheetData>
    <row r="1" spans="1:48" x14ac:dyDescent="0.2">
      <c r="A1" s="4" t="s">
        <v>3</v>
      </c>
      <c r="B1" s="4" t="s">
        <v>5</v>
      </c>
      <c r="C1" s="4" t="s">
        <v>7</v>
      </c>
      <c r="D1" s="4" t="s">
        <v>9</v>
      </c>
      <c r="E1" s="4" t="s">
        <v>11</v>
      </c>
      <c r="F1" s="10" t="s">
        <v>13</v>
      </c>
      <c r="G1" s="9" t="s">
        <v>27</v>
      </c>
      <c r="H1" s="4" t="s">
        <v>28</v>
      </c>
      <c r="I1" s="4" t="s">
        <v>29</v>
      </c>
      <c r="J1" s="4" t="s">
        <v>30</v>
      </c>
      <c r="K1" s="4" t="s">
        <v>16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4" t="s">
        <v>38</v>
      </c>
      <c r="T1" s="4" t="s">
        <v>39</v>
      </c>
      <c r="U1" s="4" t="s">
        <v>40</v>
      </c>
      <c r="V1" s="4" t="s">
        <v>41</v>
      </c>
      <c r="W1" s="4" t="s">
        <v>42</v>
      </c>
      <c r="X1" s="4" t="s">
        <v>43</v>
      </c>
      <c r="Y1" s="4" t="s">
        <v>44</v>
      </c>
      <c r="Z1" s="4" t="s">
        <v>45</v>
      </c>
      <c r="AA1" s="10" t="s">
        <v>46</v>
      </c>
      <c r="AB1" s="9" t="s">
        <v>99</v>
      </c>
      <c r="AC1" s="4" t="s">
        <v>100</v>
      </c>
      <c r="AD1" s="4" t="s">
        <v>101</v>
      </c>
      <c r="AE1" s="4" t="s">
        <v>102</v>
      </c>
      <c r="AF1" s="4" t="s">
        <v>88</v>
      </c>
      <c r="AG1" s="4" t="s">
        <v>103</v>
      </c>
      <c r="AH1" s="4" t="s">
        <v>104</v>
      </c>
      <c r="AI1" s="4" t="s">
        <v>105</v>
      </c>
      <c r="AJ1" s="4" t="s">
        <v>106</v>
      </c>
      <c r="AK1" s="4" t="s">
        <v>107</v>
      </c>
      <c r="AL1" s="4" t="s">
        <v>108</v>
      </c>
      <c r="AM1" s="4" t="s">
        <v>109</v>
      </c>
      <c r="AN1" s="4" t="s">
        <v>110</v>
      </c>
      <c r="AO1" s="4" t="s">
        <v>111</v>
      </c>
      <c r="AP1" s="4" t="s">
        <v>112</v>
      </c>
      <c r="AQ1" s="4" t="s">
        <v>113</v>
      </c>
      <c r="AR1" s="4" t="s">
        <v>114</v>
      </c>
      <c r="AS1" s="4" t="s">
        <v>115</v>
      </c>
      <c r="AT1" s="4" t="s">
        <v>116</v>
      </c>
      <c r="AU1" s="4" t="s">
        <v>117</v>
      </c>
      <c r="AV1" s="4" t="s">
        <v>118</v>
      </c>
    </row>
    <row r="2" spans="1:48" x14ac:dyDescent="0.2">
      <c r="A2" s="8" t="s">
        <v>80</v>
      </c>
      <c r="B2" s="8" t="s">
        <v>81</v>
      </c>
      <c r="C2" s="7">
        <v>4.5</v>
      </c>
      <c r="D2" s="6">
        <v>3</v>
      </c>
      <c r="E2" s="6">
        <v>14</v>
      </c>
      <c r="F2" s="11">
        <v>166</v>
      </c>
      <c r="G2" s="6">
        <v>8</v>
      </c>
      <c r="H2" s="6">
        <v>2</v>
      </c>
      <c r="I2" s="6">
        <v>1</v>
      </c>
      <c r="J2" s="6">
        <v>0</v>
      </c>
      <c r="K2" s="6">
        <v>0</v>
      </c>
      <c r="L2" s="6">
        <v>2</v>
      </c>
      <c r="M2" s="6">
        <v>4</v>
      </c>
      <c r="N2" s="6">
        <v>9</v>
      </c>
      <c r="O2" s="6">
        <v>0</v>
      </c>
      <c r="P2" s="6">
        <v>0</v>
      </c>
      <c r="Q2" s="6">
        <v>3</v>
      </c>
      <c r="R2" s="6">
        <v>44</v>
      </c>
      <c r="S2" s="6">
        <v>23</v>
      </c>
      <c r="T2" s="6">
        <v>28</v>
      </c>
      <c r="U2" s="6">
        <v>20</v>
      </c>
      <c r="V2" s="6">
        <v>0</v>
      </c>
      <c r="W2" s="6">
        <v>15</v>
      </c>
      <c r="X2" s="6">
        <v>0</v>
      </c>
      <c r="Y2" s="6">
        <v>3</v>
      </c>
      <c r="Z2" s="6">
        <v>1</v>
      </c>
      <c r="AA2" s="11">
        <v>0</v>
      </c>
      <c r="AB2" s="6">
        <f>IF(G2=0,"",G2/$F2*100)</f>
        <v>4.8192771084337354</v>
      </c>
      <c r="AC2" s="6">
        <f>IF(H2=0,"",H2/$F2*100)</f>
        <v>1.2048192771084338</v>
      </c>
      <c r="AD2" s="6">
        <f>IF(I2=0,"",I2/$F2*100)</f>
        <v>0.60240963855421692</v>
      </c>
      <c r="AE2" s="6" t="str">
        <f>IF(J2=0,"",J2/$F2*100)</f>
        <v/>
      </c>
      <c r="AF2" s="6" t="str">
        <f>IF(K2=0,"",K2/$F2*100)</f>
        <v/>
      </c>
      <c r="AG2" s="6">
        <f>IF(L2=0,"",L2/$F2*100)</f>
        <v>1.2048192771084338</v>
      </c>
      <c r="AH2" s="6">
        <f>IF(M2=0,"",M2/$F2*100)</f>
        <v>2.4096385542168677</v>
      </c>
      <c r="AI2" s="6">
        <f>IF(N2=0,"",N2/$F2*100)</f>
        <v>5.4216867469879517</v>
      </c>
      <c r="AJ2" s="6" t="str">
        <f>IF(O2=0,"",O2/$F2*100)</f>
        <v/>
      </c>
      <c r="AK2" s="6" t="str">
        <f>IF(P2=0,"",P2/$F2*100)</f>
        <v/>
      </c>
      <c r="AL2" s="6">
        <f>IF(Q2=0,"",Q2/$F2*100)</f>
        <v>1.8072289156626504</v>
      </c>
      <c r="AM2" s="6">
        <f>IF(R2=0,"",R2/$F2*100)</f>
        <v>26.506024096385545</v>
      </c>
      <c r="AN2" s="6">
        <f>IF(S2=0,"",S2/$F2*100)</f>
        <v>13.855421686746988</v>
      </c>
      <c r="AO2" s="6">
        <f>IF(T2=0,"",T2/$F2*100)</f>
        <v>16.867469879518072</v>
      </c>
      <c r="AP2" s="6">
        <f>IF(U2=0,"",U2/$F2*100)</f>
        <v>12.048192771084338</v>
      </c>
      <c r="AQ2" s="6" t="str">
        <f>IF(V2=0,"",V2/$F2*100)</f>
        <v/>
      </c>
      <c r="AR2" s="6">
        <f>IF(W2=0,"",W2/$F2*100)</f>
        <v>9.0361445783132535</v>
      </c>
      <c r="AS2" s="6" t="str">
        <f>IF(X2=0,"",X2/$F2*100)</f>
        <v/>
      </c>
      <c r="AT2" s="6">
        <f>IF(Y2=0,"",Y2/$F2*100)</f>
        <v>1.8072289156626504</v>
      </c>
      <c r="AU2" s="6">
        <f>IF(Z2=0,"",Z2/$F2*100)</f>
        <v>0.60240963855421692</v>
      </c>
      <c r="AV2" s="6" t="str">
        <f>IF(AA2=0,"",AA2/$F2*100)</f>
        <v/>
      </c>
    </row>
    <row r="3" spans="1:48" x14ac:dyDescent="0.2">
      <c r="A3" s="8" t="s">
        <v>80</v>
      </c>
      <c r="B3" s="8" t="s">
        <v>82</v>
      </c>
      <c r="C3" s="7">
        <v>3.6</v>
      </c>
      <c r="D3" s="6">
        <v>2</v>
      </c>
      <c r="E3" s="6">
        <v>12</v>
      </c>
      <c r="F3" s="11">
        <v>85</v>
      </c>
      <c r="G3" s="6">
        <v>11</v>
      </c>
      <c r="H3" s="6">
        <v>30</v>
      </c>
      <c r="I3" s="6">
        <v>4</v>
      </c>
      <c r="J3" s="6">
        <v>0</v>
      </c>
      <c r="K3" s="6">
        <v>0</v>
      </c>
      <c r="L3" s="6">
        <v>0</v>
      </c>
      <c r="M3" s="6">
        <v>1</v>
      </c>
      <c r="N3" s="6">
        <v>2</v>
      </c>
      <c r="O3" s="6">
        <v>2</v>
      </c>
      <c r="P3" s="6">
        <v>0</v>
      </c>
      <c r="Q3" s="6">
        <v>0</v>
      </c>
      <c r="R3" s="6">
        <v>0</v>
      </c>
      <c r="S3" s="6">
        <v>2</v>
      </c>
      <c r="T3" s="6">
        <v>0</v>
      </c>
      <c r="U3" s="6">
        <v>9</v>
      </c>
      <c r="V3" s="6">
        <v>0</v>
      </c>
      <c r="W3" s="6">
        <v>7</v>
      </c>
      <c r="X3" s="6">
        <v>8</v>
      </c>
      <c r="Y3" s="6">
        <v>7</v>
      </c>
      <c r="Z3" s="6">
        <v>0</v>
      </c>
      <c r="AA3" s="11">
        <v>0</v>
      </c>
      <c r="AB3" s="6">
        <f t="shared" ref="AB3:AB7" si="0">IF(G3=0,"",G3/$F3*100)</f>
        <v>12.941176470588237</v>
      </c>
      <c r="AC3" s="6">
        <f t="shared" ref="AC3:AC7" si="1">IF(H3=0,"",H3/$F3*100)</f>
        <v>35.294117647058826</v>
      </c>
      <c r="AD3" s="6">
        <f t="shared" ref="AD3:AD7" si="2">IF(I3=0,"",I3/$F3*100)</f>
        <v>4.7058823529411766</v>
      </c>
      <c r="AE3" s="6" t="str">
        <f t="shared" ref="AE3:AE7" si="3">IF(J3=0,"",J3/$F3*100)</f>
        <v/>
      </c>
      <c r="AF3" s="6" t="str">
        <f t="shared" ref="AF3:AF7" si="4">IF(K3=0,"",K3/$F3*100)</f>
        <v/>
      </c>
      <c r="AG3" s="6" t="str">
        <f t="shared" ref="AG3:AG7" si="5">IF(L3=0,"",L3/$F3*100)</f>
        <v/>
      </c>
      <c r="AH3" s="6">
        <f t="shared" ref="AH3:AH7" si="6">IF(M3=0,"",M3/$F3*100)</f>
        <v>1.1764705882352942</v>
      </c>
      <c r="AI3" s="6">
        <f t="shared" ref="AI3:AI7" si="7">IF(N3=0,"",N3/$F3*100)</f>
        <v>2.3529411764705883</v>
      </c>
      <c r="AJ3" s="6">
        <f t="shared" ref="AJ3:AJ7" si="8">IF(O3=0,"",O3/$F3*100)</f>
        <v>2.3529411764705883</v>
      </c>
      <c r="AK3" s="6" t="str">
        <f t="shared" ref="AK3:AK7" si="9">IF(P3=0,"",P3/$F3*100)</f>
        <v/>
      </c>
      <c r="AL3" s="6" t="str">
        <f t="shared" ref="AL3:AL7" si="10">IF(Q3=0,"",Q3/$F3*100)</f>
        <v/>
      </c>
      <c r="AM3" s="6" t="str">
        <f t="shared" ref="AM3:AM7" si="11">IF(R3=0,"",R3/$F3*100)</f>
        <v/>
      </c>
      <c r="AN3" s="6">
        <f t="shared" ref="AN3:AN7" si="12">IF(S3=0,"",S3/$F3*100)</f>
        <v>2.3529411764705883</v>
      </c>
      <c r="AO3" s="6" t="str">
        <f t="shared" ref="AO3:AO7" si="13">IF(T3=0,"",T3/$F3*100)</f>
        <v/>
      </c>
      <c r="AP3" s="6">
        <f t="shared" ref="AP3:AP7" si="14">IF(U3=0,"",U3/$F3*100)</f>
        <v>10.588235294117647</v>
      </c>
      <c r="AQ3" s="6" t="str">
        <f t="shared" ref="AQ3:AQ7" si="15">IF(V3=0,"",V3/$F3*100)</f>
        <v/>
      </c>
      <c r="AR3" s="6">
        <f t="shared" ref="AR3:AR7" si="16">IF(W3=0,"",W3/$F3*100)</f>
        <v>8.235294117647058</v>
      </c>
      <c r="AS3" s="6">
        <f t="shared" ref="AS3:AS7" si="17">IF(X3=0,"",X3/$F3*100)</f>
        <v>9.4117647058823533</v>
      </c>
      <c r="AT3" s="6">
        <f t="shared" ref="AT3:AT7" si="18">IF(Y3=0,"",Y3/$F3*100)</f>
        <v>8.235294117647058</v>
      </c>
      <c r="AU3" s="6" t="str">
        <f t="shared" ref="AU3:AU7" si="19">IF(Z3=0,"",Z3/$F3*100)</f>
        <v/>
      </c>
      <c r="AV3" s="6" t="str">
        <f t="shared" ref="AV3:AV7" si="20">IF(AA3=0,"",AA3/$F3*100)</f>
        <v/>
      </c>
    </row>
    <row r="4" spans="1:48" x14ac:dyDescent="0.2">
      <c r="A4" s="8" t="s">
        <v>80</v>
      </c>
      <c r="B4" s="8" t="s">
        <v>83</v>
      </c>
      <c r="C4" s="7">
        <v>9.1999999999999993</v>
      </c>
      <c r="D4" s="6">
        <v>12</v>
      </c>
      <c r="E4" s="6">
        <v>57</v>
      </c>
      <c r="F4" s="11">
        <v>661</v>
      </c>
      <c r="G4" s="6">
        <v>32</v>
      </c>
      <c r="H4" s="6">
        <v>12</v>
      </c>
      <c r="I4" s="6">
        <v>19</v>
      </c>
      <c r="J4" s="6">
        <v>0</v>
      </c>
      <c r="K4" s="6">
        <v>0</v>
      </c>
      <c r="L4" s="6">
        <v>7</v>
      </c>
      <c r="M4" s="6">
        <v>12</v>
      </c>
      <c r="N4" s="6">
        <v>67</v>
      </c>
      <c r="O4" s="6">
        <v>6</v>
      </c>
      <c r="P4" s="6">
        <v>1</v>
      </c>
      <c r="Q4" s="6">
        <v>15</v>
      </c>
      <c r="R4" s="6">
        <v>57</v>
      </c>
      <c r="S4" s="6">
        <v>76</v>
      </c>
      <c r="T4" s="6">
        <v>31</v>
      </c>
      <c r="U4" s="6">
        <v>143</v>
      </c>
      <c r="V4" s="6">
        <v>2</v>
      </c>
      <c r="W4" s="6">
        <v>28</v>
      </c>
      <c r="X4" s="6">
        <v>2</v>
      </c>
      <c r="Y4" s="6">
        <v>63</v>
      </c>
      <c r="Z4" s="6">
        <v>17</v>
      </c>
      <c r="AA4" s="11">
        <v>6</v>
      </c>
      <c r="AB4" s="6">
        <f t="shared" si="0"/>
        <v>4.8411497730711046</v>
      </c>
      <c r="AC4" s="6">
        <f t="shared" si="1"/>
        <v>1.8154311649016641</v>
      </c>
      <c r="AD4" s="6">
        <f t="shared" si="2"/>
        <v>2.8744326777609683</v>
      </c>
      <c r="AE4" s="6" t="str">
        <f t="shared" si="3"/>
        <v/>
      </c>
      <c r="AF4" s="6" t="str">
        <f t="shared" si="4"/>
        <v/>
      </c>
      <c r="AG4" s="6">
        <f t="shared" si="5"/>
        <v>1.059001512859304</v>
      </c>
      <c r="AH4" s="6">
        <f t="shared" si="6"/>
        <v>1.8154311649016641</v>
      </c>
      <c r="AI4" s="6">
        <f t="shared" si="7"/>
        <v>10.136157337367626</v>
      </c>
      <c r="AJ4" s="6">
        <f t="shared" si="8"/>
        <v>0.90771558245083206</v>
      </c>
      <c r="AK4" s="6">
        <f t="shared" si="9"/>
        <v>0.15128593040847202</v>
      </c>
      <c r="AL4" s="6">
        <f t="shared" si="10"/>
        <v>2.2692889561270801</v>
      </c>
      <c r="AM4" s="6">
        <f t="shared" si="11"/>
        <v>8.6232980332829037</v>
      </c>
      <c r="AN4" s="6">
        <f t="shared" si="12"/>
        <v>11.497730711043873</v>
      </c>
      <c r="AO4" s="6">
        <f t="shared" si="13"/>
        <v>4.689863842662632</v>
      </c>
      <c r="AP4" s="6">
        <f t="shared" si="14"/>
        <v>21.633888048411499</v>
      </c>
      <c r="AQ4" s="6">
        <f t="shared" si="15"/>
        <v>0.30257186081694404</v>
      </c>
      <c r="AR4" s="6">
        <f t="shared" si="16"/>
        <v>4.236006051437216</v>
      </c>
      <c r="AS4" s="6">
        <f t="shared" si="17"/>
        <v>0.30257186081694404</v>
      </c>
      <c r="AT4" s="6">
        <f t="shared" si="18"/>
        <v>9.5310136157337375</v>
      </c>
      <c r="AU4" s="6">
        <f t="shared" si="19"/>
        <v>2.5718608169440245</v>
      </c>
      <c r="AV4" s="6">
        <f t="shared" si="20"/>
        <v>0.90771558245083206</v>
      </c>
    </row>
    <row r="5" spans="1:48" x14ac:dyDescent="0.2">
      <c r="A5" s="8" t="s">
        <v>80</v>
      </c>
      <c r="B5" s="8" t="s">
        <v>84</v>
      </c>
      <c r="C5" s="7">
        <v>2.1</v>
      </c>
      <c r="D5" s="6">
        <v>2</v>
      </c>
      <c r="E5" s="6">
        <v>4</v>
      </c>
      <c r="F5" s="11">
        <v>65</v>
      </c>
      <c r="G5" s="6">
        <v>8</v>
      </c>
      <c r="H5" s="6">
        <v>3</v>
      </c>
      <c r="I5" s="6">
        <v>0</v>
      </c>
      <c r="J5" s="6">
        <v>0</v>
      </c>
      <c r="K5" s="6">
        <v>0</v>
      </c>
      <c r="L5" s="6">
        <v>0</v>
      </c>
      <c r="M5" s="6">
        <v>8</v>
      </c>
      <c r="N5" s="6">
        <v>0</v>
      </c>
      <c r="O5" s="6">
        <v>2</v>
      </c>
      <c r="P5" s="6">
        <v>0</v>
      </c>
      <c r="Q5" s="6">
        <v>0</v>
      </c>
      <c r="R5" s="6">
        <v>12</v>
      </c>
      <c r="S5" s="6">
        <v>9</v>
      </c>
      <c r="T5" s="6">
        <v>1</v>
      </c>
      <c r="U5" s="6">
        <v>14</v>
      </c>
      <c r="V5" s="6">
        <v>0</v>
      </c>
      <c r="W5" s="6">
        <v>1</v>
      </c>
      <c r="X5" s="6">
        <v>0</v>
      </c>
      <c r="Y5" s="6">
        <v>5</v>
      </c>
      <c r="Z5" s="6">
        <v>2</v>
      </c>
      <c r="AA5" s="11">
        <v>0</v>
      </c>
      <c r="AB5" s="6">
        <f t="shared" si="0"/>
        <v>12.307692307692308</v>
      </c>
      <c r="AC5" s="6">
        <f t="shared" si="1"/>
        <v>4.6153846153846159</v>
      </c>
      <c r="AD5" s="6" t="str">
        <f t="shared" si="2"/>
        <v/>
      </c>
      <c r="AE5" s="6" t="str">
        <f t="shared" si="3"/>
        <v/>
      </c>
      <c r="AF5" s="6" t="str">
        <f t="shared" si="4"/>
        <v/>
      </c>
      <c r="AG5" s="6" t="str">
        <f t="shared" si="5"/>
        <v/>
      </c>
      <c r="AH5" s="6">
        <f t="shared" si="6"/>
        <v>12.307692307692308</v>
      </c>
      <c r="AI5" s="6" t="str">
        <f t="shared" si="7"/>
        <v/>
      </c>
      <c r="AJ5" s="6">
        <f t="shared" si="8"/>
        <v>3.0769230769230771</v>
      </c>
      <c r="AK5" s="6" t="str">
        <f t="shared" si="9"/>
        <v/>
      </c>
      <c r="AL5" s="6" t="str">
        <f t="shared" si="10"/>
        <v/>
      </c>
      <c r="AM5" s="6">
        <f t="shared" si="11"/>
        <v>18.461538461538463</v>
      </c>
      <c r="AN5" s="6">
        <f t="shared" si="12"/>
        <v>13.846153846153847</v>
      </c>
      <c r="AO5" s="6">
        <f t="shared" si="13"/>
        <v>1.5384615384615385</v>
      </c>
      <c r="AP5" s="6">
        <f t="shared" si="14"/>
        <v>21.53846153846154</v>
      </c>
      <c r="AQ5" s="6" t="str">
        <f t="shared" si="15"/>
        <v/>
      </c>
      <c r="AR5" s="6">
        <f t="shared" si="16"/>
        <v>1.5384615384615385</v>
      </c>
      <c r="AS5" s="6" t="str">
        <f t="shared" si="17"/>
        <v/>
      </c>
      <c r="AT5" s="6">
        <f t="shared" si="18"/>
        <v>7.6923076923076925</v>
      </c>
      <c r="AU5" s="6">
        <f t="shared" si="19"/>
        <v>3.0769230769230771</v>
      </c>
      <c r="AV5" s="6" t="str">
        <f t="shared" si="20"/>
        <v/>
      </c>
    </row>
    <row r="6" spans="1:48" x14ac:dyDescent="0.2">
      <c r="A6" s="8" t="s">
        <v>80</v>
      </c>
      <c r="B6" s="8" t="s">
        <v>85</v>
      </c>
      <c r="C6" s="7">
        <v>3.4</v>
      </c>
      <c r="D6" s="6">
        <v>2</v>
      </c>
      <c r="E6" s="6">
        <v>12</v>
      </c>
      <c r="F6" s="11">
        <v>141</v>
      </c>
      <c r="G6" s="6">
        <v>31</v>
      </c>
      <c r="H6" s="6">
        <v>11</v>
      </c>
      <c r="I6" s="6">
        <v>3</v>
      </c>
      <c r="J6" s="6">
        <v>0</v>
      </c>
      <c r="K6" s="6">
        <v>0</v>
      </c>
      <c r="L6" s="6">
        <v>0</v>
      </c>
      <c r="M6" s="6">
        <v>5</v>
      </c>
      <c r="N6" s="6">
        <v>5</v>
      </c>
      <c r="O6" s="6">
        <v>0</v>
      </c>
      <c r="P6" s="6">
        <v>0</v>
      </c>
      <c r="Q6" s="6">
        <v>0</v>
      </c>
      <c r="R6" s="6">
        <v>24</v>
      </c>
      <c r="S6" s="6">
        <v>19</v>
      </c>
      <c r="T6" s="6">
        <v>3</v>
      </c>
      <c r="U6" s="6">
        <v>22</v>
      </c>
      <c r="V6" s="6">
        <v>0</v>
      </c>
      <c r="W6" s="6">
        <v>11</v>
      </c>
      <c r="X6" s="6">
        <v>0</v>
      </c>
      <c r="Y6" s="6">
        <v>4</v>
      </c>
      <c r="Z6" s="6">
        <v>0</v>
      </c>
      <c r="AA6" s="11">
        <v>0</v>
      </c>
      <c r="AB6" s="6">
        <f t="shared" si="0"/>
        <v>21.98581560283688</v>
      </c>
      <c r="AC6" s="6">
        <f t="shared" si="1"/>
        <v>7.8014184397163122</v>
      </c>
      <c r="AD6" s="6">
        <f t="shared" si="2"/>
        <v>2.1276595744680851</v>
      </c>
      <c r="AE6" s="6" t="str">
        <f t="shared" si="3"/>
        <v/>
      </c>
      <c r="AF6" s="6" t="str">
        <f t="shared" si="4"/>
        <v/>
      </c>
      <c r="AG6" s="6" t="str">
        <f t="shared" si="5"/>
        <v/>
      </c>
      <c r="AH6" s="6">
        <f t="shared" si="6"/>
        <v>3.5460992907801421</v>
      </c>
      <c r="AI6" s="6">
        <f t="shared" si="7"/>
        <v>3.5460992907801421</v>
      </c>
      <c r="AJ6" s="6" t="str">
        <f t="shared" si="8"/>
        <v/>
      </c>
      <c r="AK6" s="6" t="str">
        <f t="shared" si="9"/>
        <v/>
      </c>
      <c r="AL6" s="6" t="str">
        <f t="shared" si="10"/>
        <v/>
      </c>
      <c r="AM6" s="6">
        <f t="shared" si="11"/>
        <v>17.021276595744681</v>
      </c>
      <c r="AN6" s="6">
        <f t="shared" si="12"/>
        <v>13.475177304964539</v>
      </c>
      <c r="AO6" s="6">
        <f t="shared" si="13"/>
        <v>2.1276595744680851</v>
      </c>
      <c r="AP6" s="6">
        <f t="shared" si="14"/>
        <v>15.602836879432624</v>
      </c>
      <c r="AQ6" s="6" t="str">
        <f t="shared" si="15"/>
        <v/>
      </c>
      <c r="AR6" s="6">
        <f t="shared" si="16"/>
        <v>7.8014184397163122</v>
      </c>
      <c r="AS6" s="6" t="str">
        <f t="shared" si="17"/>
        <v/>
      </c>
      <c r="AT6" s="6">
        <f t="shared" si="18"/>
        <v>2.8368794326241136</v>
      </c>
      <c r="AU6" s="6" t="str">
        <f t="shared" si="19"/>
        <v/>
      </c>
      <c r="AV6" s="6" t="str">
        <f t="shared" si="20"/>
        <v/>
      </c>
    </row>
    <row r="7" spans="1:48" x14ac:dyDescent="0.2">
      <c r="A7" s="8" t="s">
        <v>80</v>
      </c>
      <c r="B7" s="8" t="s">
        <v>86</v>
      </c>
      <c r="C7" s="7">
        <v>4.0999999999999996</v>
      </c>
      <c r="D7" s="6">
        <v>1</v>
      </c>
      <c r="E7" s="6">
        <v>2</v>
      </c>
      <c r="F7" s="11">
        <v>40</v>
      </c>
      <c r="G7" s="6">
        <v>0</v>
      </c>
      <c r="H7" s="6">
        <v>4</v>
      </c>
      <c r="I7" s="6">
        <v>5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1</v>
      </c>
      <c r="S7" s="6">
        <v>2</v>
      </c>
      <c r="T7" s="6">
        <v>0</v>
      </c>
      <c r="U7" s="6">
        <v>19</v>
      </c>
      <c r="V7" s="6">
        <v>2</v>
      </c>
      <c r="W7" s="6">
        <v>0</v>
      </c>
      <c r="X7" s="6">
        <v>3</v>
      </c>
      <c r="Y7" s="6">
        <v>4</v>
      </c>
      <c r="Z7" s="6">
        <v>0</v>
      </c>
      <c r="AA7" s="11">
        <v>0</v>
      </c>
      <c r="AB7" s="6" t="str">
        <f t="shared" si="0"/>
        <v/>
      </c>
      <c r="AC7" s="6">
        <f t="shared" si="1"/>
        <v>10</v>
      </c>
      <c r="AD7" s="6">
        <f t="shared" si="2"/>
        <v>12.5</v>
      </c>
      <c r="AE7" s="6" t="str">
        <f t="shared" si="3"/>
        <v/>
      </c>
      <c r="AF7" s="6" t="str">
        <f t="shared" si="4"/>
        <v/>
      </c>
      <c r="AG7" s="6" t="str">
        <f t="shared" si="5"/>
        <v/>
      </c>
      <c r="AH7" s="6" t="str">
        <f t="shared" si="6"/>
        <v/>
      </c>
      <c r="AI7" s="6" t="str">
        <f t="shared" si="7"/>
        <v/>
      </c>
      <c r="AJ7" s="6" t="str">
        <f t="shared" si="8"/>
        <v/>
      </c>
      <c r="AK7" s="6" t="str">
        <f t="shared" si="9"/>
        <v/>
      </c>
      <c r="AL7" s="6" t="str">
        <f t="shared" si="10"/>
        <v/>
      </c>
      <c r="AM7" s="6">
        <f t="shared" si="11"/>
        <v>2.5</v>
      </c>
      <c r="AN7" s="6">
        <f t="shared" si="12"/>
        <v>5</v>
      </c>
      <c r="AO7" s="6" t="str">
        <f t="shared" si="13"/>
        <v/>
      </c>
      <c r="AP7" s="6">
        <f t="shared" si="14"/>
        <v>47.5</v>
      </c>
      <c r="AQ7" s="6">
        <f t="shared" si="15"/>
        <v>5</v>
      </c>
      <c r="AR7" s="6" t="str">
        <f t="shared" si="16"/>
        <v/>
      </c>
      <c r="AS7" s="6">
        <f t="shared" si="17"/>
        <v>7.5</v>
      </c>
      <c r="AT7" s="6">
        <f t="shared" si="18"/>
        <v>10</v>
      </c>
      <c r="AU7" s="6" t="str">
        <f t="shared" si="19"/>
        <v/>
      </c>
      <c r="AV7" s="6" t="str">
        <f t="shared" si="20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</vt:lpstr>
      <vt:lpstr>Genus</vt:lpstr>
      <vt:lpstr>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2025-09-23T17:31:31Z</dcterms:created>
  <dcterms:modified xsi:type="dcterms:W3CDTF">2025-09-23T17:31:32Z</dcterms:modified>
</cp:coreProperties>
</file>