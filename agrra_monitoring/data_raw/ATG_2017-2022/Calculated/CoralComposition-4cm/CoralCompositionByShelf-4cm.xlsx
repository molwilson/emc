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4cm\"/>
    </mc:Choice>
  </mc:AlternateContent>
  <xr:revisionPtr revIDLastSave="0" documentId="8_{7AE60A58-7918-4D97-B764-6D08427278F7}" xr6:coauthVersionLast="47" xr6:coauthVersionMax="47" xr10:uidLastSave="{00000000-0000-0000-0000-000000000000}"/>
  <bookViews>
    <workbookView xWindow="-990" yWindow="-16920" windowWidth="28800" windowHeight="15435" xr2:uid="{8A13432A-B38A-4A85-90F5-870BB43AB053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3" i="3" l="1"/>
  <c r="AV4" i="3"/>
  <c r="AV5" i="3"/>
  <c r="AV2" i="3"/>
  <c r="AU3" i="3"/>
  <c r="AU4" i="3"/>
  <c r="AU5" i="3"/>
  <c r="AU2" i="3"/>
  <c r="AT3" i="3"/>
  <c r="AT4" i="3"/>
  <c r="AT5" i="3"/>
  <c r="AT2" i="3"/>
  <c r="AS3" i="3"/>
  <c r="AS4" i="3"/>
  <c r="AS5" i="3"/>
  <c r="AS2" i="3"/>
  <c r="AR3" i="3"/>
  <c r="AR4" i="3"/>
  <c r="AR5" i="3"/>
  <c r="AR2" i="3"/>
  <c r="AQ3" i="3"/>
  <c r="AQ4" i="3"/>
  <c r="AQ5" i="3"/>
  <c r="AQ2" i="3"/>
  <c r="AP3" i="3"/>
  <c r="AP4" i="3"/>
  <c r="AP5" i="3"/>
  <c r="AP2" i="3"/>
  <c r="AO3" i="3"/>
  <c r="AO4" i="3"/>
  <c r="AO5" i="3"/>
  <c r="AO2" i="3"/>
  <c r="AN3" i="3"/>
  <c r="AN4" i="3"/>
  <c r="AN5" i="3"/>
  <c r="AN2" i="3"/>
  <c r="AM3" i="3"/>
  <c r="AM4" i="3"/>
  <c r="AM5" i="3"/>
  <c r="AM2" i="3"/>
  <c r="AL3" i="3"/>
  <c r="AL4" i="3"/>
  <c r="AL5" i="3"/>
  <c r="AL2" i="3"/>
  <c r="AK3" i="3"/>
  <c r="AK4" i="3"/>
  <c r="AK5" i="3"/>
  <c r="AK2" i="3"/>
  <c r="AJ3" i="3"/>
  <c r="AJ4" i="3"/>
  <c r="AJ5" i="3"/>
  <c r="AJ2" i="3"/>
  <c r="AI3" i="3"/>
  <c r="AI4" i="3"/>
  <c r="AI5" i="3"/>
  <c r="AI2" i="3"/>
  <c r="AH3" i="3"/>
  <c r="AH4" i="3"/>
  <c r="AH5" i="3"/>
  <c r="AH2" i="3"/>
  <c r="AG3" i="3"/>
  <c r="AG4" i="3"/>
  <c r="AG5" i="3"/>
  <c r="AG2" i="3"/>
  <c r="AF3" i="3"/>
  <c r="AF4" i="3"/>
  <c r="AF5" i="3"/>
  <c r="AF2" i="3"/>
  <c r="AE3" i="3"/>
  <c r="AE4" i="3"/>
  <c r="AE5" i="3"/>
  <c r="AE2" i="3"/>
  <c r="AD3" i="3"/>
  <c r="AD4" i="3"/>
  <c r="AD5" i="3"/>
  <c r="AD2" i="3"/>
  <c r="AC3" i="3"/>
  <c r="AC4" i="3"/>
  <c r="AC5" i="3"/>
  <c r="AC2" i="3"/>
  <c r="AB3" i="3"/>
  <c r="AB4" i="3"/>
  <c r="AB5" i="3"/>
  <c r="AB2" i="3"/>
  <c r="AD3" i="2"/>
  <c r="AD4" i="2"/>
  <c r="AD5" i="2"/>
  <c r="AD2" i="2"/>
  <c r="AC3" i="2"/>
  <c r="AC4" i="2"/>
  <c r="AC5" i="2"/>
  <c r="AC2" i="2"/>
  <c r="AB3" i="2"/>
  <c r="AB4" i="2"/>
  <c r="AB5" i="2"/>
  <c r="AB2" i="2"/>
  <c r="AA3" i="2"/>
  <c r="AA4" i="2"/>
  <c r="AA5" i="2"/>
  <c r="AA2" i="2"/>
  <c r="Z3" i="2"/>
  <c r="Z4" i="2"/>
  <c r="Z5" i="2"/>
  <c r="Z2" i="2"/>
  <c r="Y3" i="2"/>
  <c r="Y4" i="2"/>
  <c r="Y5" i="2"/>
  <c r="Y2" i="2"/>
  <c r="X3" i="2"/>
  <c r="X4" i="2"/>
  <c r="X5" i="2"/>
  <c r="X2" i="2"/>
  <c r="W3" i="2"/>
  <c r="W4" i="2"/>
  <c r="W5" i="2"/>
  <c r="W2" i="2"/>
  <c r="V3" i="2"/>
  <c r="V4" i="2"/>
  <c r="V5" i="2"/>
  <c r="V2" i="2"/>
  <c r="U3" i="2"/>
  <c r="U4" i="2"/>
  <c r="U5" i="2"/>
  <c r="U2" i="2"/>
  <c r="T3" i="2"/>
  <c r="T4" i="2"/>
  <c r="T5" i="2"/>
  <c r="T2" i="2"/>
  <c r="S3" i="2"/>
  <c r="S4" i="2"/>
  <c r="S5" i="2"/>
  <c r="S2" i="2"/>
</calcChain>
</file>

<file path=xl/sharedStrings.xml><?xml version="1.0" encoding="utf-8"?>
<sst xmlns="http://schemas.openxmlformats.org/spreadsheetml/2006/main" count="175" uniqueCount="117">
  <si>
    <t>Generated: Tue Sep 23 13:30:44 2025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</si>
  <si>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</si>
  <si>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</si>
  <si>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</si>
  <si>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</si>
  <si>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</si>
  <si>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</si>
  <si>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</si>
  <si>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</si>
  <si>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</si>
  <si>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</si>
  <si>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</si>
  <si>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</si>
  <si>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</si>
  <si>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</si>
  <si>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</si>
  <si>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</si>
  <si>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</si>
  <si>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</si>
  <si>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</si>
  <si>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</si>
  <si>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</si>
  <si>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</si>
  <si>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</si>
  <si>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</si>
  <si>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</si>
  <si>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</si>
  <si>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</si>
  <si>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</si>
  <si>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</si>
  <si>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</si>
  <si>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</si>
  <si>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</si>
  <si>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</si>
  <si>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</si>
  <si>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</si>
  <si>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</si>
  <si>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</si>
  <si>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</si>
  <si>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</si>
  <si>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</si>
  <si>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</si>
  <si>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</si>
  <si>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</si>
  <si>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</si>
  <si>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</si>
  <si>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</si>
  <si>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</si>
  <si>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</si>
  <si>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</si>
  <si>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</si>
  <si>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</si>
  <si>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</si>
  <si>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</si>
  <si>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</si>
  <si>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</si>
  <si>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</si>
  <si>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</si>
  <si>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</si>
  <si>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</si>
  <si>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</si>
  <si>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</si>
  <si>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</si>
  <si>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</si>
  <si>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</si>
  <si>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</si>
  <si>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</si>
  <si>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</si>
  <si>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</si>
  <si>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</si>
  <si>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</si>
  <si>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</si>
  <si>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</si>
  <si>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</si>
  <si>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</si>
  <si>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</si>
  <si>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</si>
  <si>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</si>
  <si>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</si>
  <si>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</si>
  <si>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Antigua Shelf</t>
  </si>
  <si>
    <t>Back</t>
  </si>
  <si>
    <t>Fore</t>
  </si>
  <si>
    <t>Intertidal Crest:Back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</si>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</sst>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7613-4E2A-4285-976D-9401B174147E}">
  <dimension ref="A1:B41"/>
  <sheetViews>
    <sheetView tabSelected="1" workbookViewId="0">
      <selection sqref="A1:B1"/>
    </sheetView>
  </sheetViews>
  <sheetFormatPr defaultRowHeight="12.75" x14ac:dyDescent="0.2"/>
  <cols>
    <col min="1" max="1" width="6.85546875" bestFit="1" customWidth="1"/>
    <col min="2" max="2" width="32.71093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2" t="s">
        <v>47</v>
      </c>
    </row>
    <row r="10" spans="1:2" x14ac:dyDescent="0.2">
      <c r="A10" s="5" t="s">
        <v>16</v>
      </c>
      <c r="B10" s="2" t="s">
        <v>48</v>
      </c>
    </row>
    <row r="11" spans="1:2" x14ac:dyDescent="0.2">
      <c r="A11" s="5" t="s">
        <v>17</v>
      </c>
      <c r="B11" s="2" t="s">
        <v>49</v>
      </c>
    </row>
    <row r="12" spans="1:2" x14ac:dyDescent="0.2">
      <c r="A12" s="5" t="s">
        <v>18</v>
      </c>
      <c r="B12" s="2" t="s">
        <v>50</v>
      </c>
    </row>
    <row r="13" spans="1:2" x14ac:dyDescent="0.2">
      <c r="A13" s="5" t="s">
        <v>19</v>
      </c>
      <c r="B13" s="2" t="s">
        <v>51</v>
      </c>
    </row>
    <row r="14" spans="1:2" x14ac:dyDescent="0.2">
      <c r="A14" s="5" t="s">
        <v>20</v>
      </c>
      <c r="B14" s="2" t="s">
        <v>52</v>
      </c>
    </row>
    <row r="15" spans="1:2" x14ac:dyDescent="0.2">
      <c r="A15" s="5" t="s">
        <v>21</v>
      </c>
      <c r="B15" s="2" t="s">
        <v>53</v>
      </c>
    </row>
    <row r="16" spans="1:2" x14ac:dyDescent="0.2">
      <c r="A16" s="5" t="s">
        <v>22</v>
      </c>
      <c r="B16" s="2" t="s">
        <v>54</v>
      </c>
    </row>
    <row r="17" spans="1:2" x14ac:dyDescent="0.2">
      <c r="A17" s="5" t="s">
        <v>23</v>
      </c>
      <c r="B17" s="2" t="s">
        <v>55</v>
      </c>
    </row>
    <row r="18" spans="1:2" x14ac:dyDescent="0.2">
      <c r="A18" s="5" t="s">
        <v>24</v>
      </c>
      <c r="B18" s="2" t="s">
        <v>56</v>
      </c>
    </row>
    <row r="19" spans="1:2" x14ac:dyDescent="0.2">
      <c r="A19" s="5" t="s">
        <v>25</v>
      </c>
      <c r="B19" s="2" t="s">
        <v>57</v>
      </c>
    </row>
    <row r="20" spans="1:2" x14ac:dyDescent="0.2">
      <c r="A20" s="5" t="s">
        <v>26</v>
      </c>
      <c r="B20" s="2" t="s">
        <v>58</v>
      </c>
    </row>
    <row r="21" spans="1:2" x14ac:dyDescent="0.2">
      <c r="A21" s="5" t="s">
        <v>27</v>
      </c>
      <c r="B21" s="2" t="s">
        <v>59</v>
      </c>
    </row>
    <row r="22" spans="1:2" x14ac:dyDescent="0.2">
      <c r="A22" s="5" t="s">
        <v>28</v>
      </c>
      <c r="B22" s="2" t="s">
        <v>60</v>
      </c>
    </row>
    <row r="23" spans="1:2" x14ac:dyDescent="0.2">
      <c r="A23" s="5" t="s">
        <v>29</v>
      </c>
      <c r="B23" s="2" t="s">
        <v>61</v>
      </c>
    </row>
    <row r="24" spans="1:2" x14ac:dyDescent="0.2">
      <c r="A24" s="5" t="s">
        <v>30</v>
      </c>
      <c r="B24" s="2" t="s">
        <v>62</v>
      </c>
    </row>
    <row r="25" spans="1:2" x14ac:dyDescent="0.2">
      <c r="A25" s="5" t="s">
        <v>16</v>
      </c>
      <c r="B25" s="2" t="s">
        <v>63</v>
      </c>
    </row>
    <row r="26" spans="1:2" x14ac:dyDescent="0.2">
      <c r="A26" s="5" t="s">
        <v>31</v>
      </c>
      <c r="B26" s="2" t="s">
        <v>64</v>
      </c>
    </row>
    <row r="27" spans="1:2" x14ac:dyDescent="0.2">
      <c r="A27" s="5" t="s">
        <v>32</v>
      </c>
      <c r="B27" s="2" t="s">
        <v>65</v>
      </c>
    </row>
    <row r="28" spans="1:2" x14ac:dyDescent="0.2">
      <c r="A28" s="5" t="s">
        <v>33</v>
      </c>
      <c r="B28" s="2" t="s">
        <v>66</v>
      </c>
    </row>
    <row r="29" spans="1:2" x14ac:dyDescent="0.2">
      <c r="A29" s="5" t="s">
        <v>34</v>
      </c>
      <c r="B29" s="2" t="s">
        <v>67</v>
      </c>
    </row>
    <row r="30" spans="1:2" x14ac:dyDescent="0.2">
      <c r="A30" s="5" t="s">
        <v>35</v>
      </c>
      <c r="B30" s="2" t="s">
        <v>68</v>
      </c>
    </row>
    <row r="31" spans="1:2" x14ac:dyDescent="0.2">
      <c r="A31" s="5" t="s">
        <v>36</v>
      </c>
      <c r="B31" s="2" t="s">
        <v>69</v>
      </c>
    </row>
    <row r="32" spans="1:2" x14ac:dyDescent="0.2">
      <c r="A32" s="5" t="s">
        <v>37</v>
      </c>
      <c r="B32" s="2" t="s">
        <v>70</v>
      </c>
    </row>
    <row r="33" spans="1:2" x14ac:dyDescent="0.2">
      <c r="A33" s="5" t="s">
        <v>38</v>
      </c>
      <c r="B33" s="2" t="s">
        <v>71</v>
      </c>
    </row>
    <row r="34" spans="1:2" x14ac:dyDescent="0.2">
      <c r="A34" s="5" t="s">
        <v>39</v>
      </c>
      <c r="B34" s="2" t="s">
        <v>72</v>
      </c>
    </row>
    <row r="35" spans="1:2" x14ac:dyDescent="0.2">
      <c r="A35" s="5" t="s">
        <v>40</v>
      </c>
      <c r="B35" s="2" t="s">
        <v>73</v>
      </c>
    </row>
    <row r="36" spans="1:2" x14ac:dyDescent="0.2">
      <c r="A36" s="5" t="s">
        <v>41</v>
      </c>
      <c r="B36" s="2" t="s">
        <v>74</v>
      </c>
    </row>
    <row r="37" spans="1:2" x14ac:dyDescent="0.2">
      <c r="A37" s="5" t="s">
        <v>42</v>
      </c>
      <c r="B37" s="2" t="s">
        <v>75</v>
      </c>
    </row>
    <row r="38" spans="1:2" x14ac:dyDescent="0.2">
      <c r="A38" s="5" t="s">
        <v>43</v>
      </c>
      <c r="B38" s="2" t="s">
        <v>76</v>
      </c>
    </row>
    <row r="39" spans="1:2" x14ac:dyDescent="0.2">
      <c r="A39" s="5" t="s">
        <v>44</v>
      </c>
      <c r="B39" s="2" t="s">
        <v>77</v>
      </c>
    </row>
    <row r="40" spans="1:2" x14ac:dyDescent="0.2">
      <c r="A40" s="5" t="s">
        <v>45</v>
      </c>
      <c r="B40" s="2" t="s">
        <v>78</v>
      </c>
    </row>
    <row r="41" spans="1:2" x14ac:dyDescent="0.2">
      <c r="A41" s="5" t="s">
        <v>46</v>
      </c>
      <c r="B41" s="2" t="s">
        <v>79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84C9-7572-4D56-AE44-34781F1CE32D}">
  <dimension ref="A1:AD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8" width="6.7109375" style="7" customWidth="1"/>
    <col min="19" max="30" width="8.7109375" style="7" customWidth="1"/>
  </cols>
  <sheetData>
    <row r="1" spans="1:30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10" t="s">
        <v>26</v>
      </c>
      <c r="S1" s="9" t="s">
        <v>85</v>
      </c>
      <c r="T1" s="4" t="s">
        <v>86</v>
      </c>
      <c r="U1" s="4" t="s">
        <v>87</v>
      </c>
      <c r="V1" s="4" t="s">
        <v>88</v>
      </c>
      <c r="W1" s="4" t="s">
        <v>89</v>
      </c>
      <c r="X1" s="4" t="s">
        <v>90</v>
      </c>
      <c r="Y1" s="4" t="s">
        <v>91</v>
      </c>
      <c r="Z1" s="4" t="s">
        <v>92</v>
      </c>
      <c r="AA1" s="4" t="s">
        <v>93</v>
      </c>
      <c r="AB1" s="4" t="s">
        <v>94</v>
      </c>
      <c r="AC1" s="4" t="s">
        <v>95</v>
      </c>
      <c r="AD1" s="10" t="s">
        <v>96</v>
      </c>
    </row>
    <row r="2" spans="1:30" x14ac:dyDescent="0.2">
      <c r="A2" s="8" t="s">
        <v>80</v>
      </c>
      <c r="B2" s="8" t="s">
        <v>81</v>
      </c>
      <c r="C2" s="6">
        <v>2.8</v>
      </c>
      <c r="D2" s="7">
        <v>1</v>
      </c>
      <c r="E2" s="7">
        <v>2</v>
      </c>
      <c r="F2" s="11">
        <v>31</v>
      </c>
      <c r="G2" s="7">
        <v>1</v>
      </c>
      <c r="H2" s="7">
        <v>1</v>
      </c>
      <c r="I2" s="7">
        <v>0</v>
      </c>
      <c r="J2" s="7">
        <v>2</v>
      </c>
      <c r="K2" s="7">
        <v>0</v>
      </c>
      <c r="L2" s="7">
        <v>1</v>
      </c>
      <c r="M2" s="7">
        <v>1</v>
      </c>
      <c r="N2" s="7">
        <v>13</v>
      </c>
      <c r="O2" s="7">
        <v>12</v>
      </c>
      <c r="P2" s="7">
        <v>0</v>
      </c>
      <c r="Q2" s="7">
        <v>0</v>
      </c>
      <c r="R2" s="11">
        <v>0</v>
      </c>
      <c r="S2" s="7">
        <f>IF(G2=0,"",G2/$F2*100)</f>
        <v>3.225806451612903</v>
      </c>
      <c r="T2" s="7">
        <f>IF(H2=0,"",H2/$F2*100)</f>
        <v>3.225806451612903</v>
      </c>
      <c r="U2" s="7" t="str">
        <f>IF(I2=0,"",I2/$F2*100)</f>
        <v/>
      </c>
      <c r="V2" s="7">
        <f>IF(J2=0,"",J2/$F2*100)</f>
        <v>6.4516129032258061</v>
      </c>
      <c r="W2" s="7" t="str">
        <f>IF(K2=0,"",K2/$F2*100)</f>
        <v/>
      </c>
      <c r="X2" s="7">
        <f>IF(L2=0,"",L2/$F2*100)</f>
        <v>3.225806451612903</v>
      </c>
      <c r="Y2" s="7">
        <f>IF(M2=0,"",M2/$F2*100)</f>
        <v>3.225806451612903</v>
      </c>
      <c r="Z2" s="7">
        <f>IF(N2=0,"",N2/$F2*100)</f>
        <v>41.935483870967744</v>
      </c>
      <c r="AA2" s="7">
        <f>IF(O2=0,"",O2/$F2*100)</f>
        <v>38.70967741935484</v>
      </c>
      <c r="AB2" s="7" t="str">
        <f>IF(P2=0,"",P2/$F2*100)</f>
        <v/>
      </c>
      <c r="AC2" s="7" t="str">
        <f>IF(Q2=0,"",Q2/$F2*100)</f>
        <v/>
      </c>
      <c r="AD2" s="11" t="str">
        <f>IF(R2=0,"",R2/$F2*100)</f>
        <v/>
      </c>
    </row>
    <row r="3" spans="1:30" x14ac:dyDescent="0.2">
      <c r="A3" s="8" t="s">
        <v>80</v>
      </c>
      <c r="B3" s="8" t="s">
        <v>82</v>
      </c>
      <c r="C3" s="6">
        <v>8.4</v>
      </c>
      <c r="D3" s="7">
        <v>4</v>
      </c>
      <c r="E3" s="7">
        <v>8</v>
      </c>
      <c r="F3" s="11">
        <v>229</v>
      </c>
      <c r="G3" s="7">
        <v>16</v>
      </c>
      <c r="H3" s="7">
        <v>24</v>
      </c>
      <c r="I3" s="7">
        <v>5</v>
      </c>
      <c r="J3" s="7">
        <v>1</v>
      </c>
      <c r="K3" s="7">
        <v>0</v>
      </c>
      <c r="L3" s="7">
        <v>5</v>
      </c>
      <c r="M3" s="7">
        <v>0</v>
      </c>
      <c r="N3" s="7">
        <v>50</v>
      </c>
      <c r="O3" s="7">
        <v>107</v>
      </c>
      <c r="P3" s="7">
        <v>11</v>
      </c>
      <c r="Q3" s="7">
        <v>9</v>
      </c>
      <c r="R3" s="11">
        <v>1</v>
      </c>
      <c r="S3" s="7">
        <f t="shared" ref="S3:S5" si="0">IF(G3=0,"",G3/$F3*100)</f>
        <v>6.9868995633187767</v>
      </c>
      <c r="T3" s="7">
        <f t="shared" ref="T3:T5" si="1">IF(H3=0,"",H3/$F3*100)</f>
        <v>10.480349344978166</v>
      </c>
      <c r="U3" s="7">
        <f t="shared" ref="U3:U5" si="2">IF(I3=0,"",I3/$F3*100)</f>
        <v>2.1834061135371177</v>
      </c>
      <c r="V3" s="7">
        <f t="shared" ref="V3:V5" si="3">IF(J3=0,"",J3/$F3*100)</f>
        <v>0.43668122270742354</v>
      </c>
      <c r="W3" s="7" t="str">
        <f t="shared" ref="W3:W5" si="4">IF(K3=0,"",K3/$F3*100)</f>
        <v/>
      </c>
      <c r="X3" s="7">
        <f t="shared" ref="X3:X5" si="5">IF(L3=0,"",L3/$F3*100)</f>
        <v>2.1834061135371177</v>
      </c>
      <c r="Y3" s="7" t="str">
        <f t="shared" ref="Y3:Y5" si="6">IF(M3=0,"",M3/$F3*100)</f>
        <v/>
      </c>
      <c r="Z3" s="7">
        <f t="shared" ref="Z3:Z5" si="7">IF(N3=0,"",N3/$F3*100)</f>
        <v>21.834061135371179</v>
      </c>
      <c r="AA3" s="7">
        <f t="shared" ref="AA3:AA5" si="8">IF(O3=0,"",O3/$F3*100)</f>
        <v>46.724890829694324</v>
      </c>
      <c r="AB3" s="7">
        <f t="shared" ref="AB3:AB5" si="9">IF(P3=0,"",P3/$F3*100)</f>
        <v>4.8034934497816595</v>
      </c>
      <c r="AC3" s="7">
        <f t="shared" ref="AC3:AC5" si="10">IF(Q3=0,"",Q3/$F3*100)</f>
        <v>3.9301310043668125</v>
      </c>
      <c r="AD3" s="11">
        <f t="shared" ref="AD3:AD5" si="11">IF(R3=0,"",R3/$F3*100)</f>
        <v>0.43668122270742354</v>
      </c>
    </row>
    <row r="4" spans="1:30" x14ac:dyDescent="0.2">
      <c r="A4" s="8" t="s">
        <v>80</v>
      </c>
      <c r="B4" s="8" t="s">
        <v>83</v>
      </c>
      <c r="C4" s="6">
        <v>2.1</v>
      </c>
      <c r="D4" s="7">
        <v>2</v>
      </c>
      <c r="E4" s="7">
        <v>4</v>
      </c>
      <c r="F4" s="11">
        <v>85</v>
      </c>
      <c r="G4" s="7">
        <v>11</v>
      </c>
      <c r="H4" s="7">
        <v>4</v>
      </c>
      <c r="I4" s="7">
        <v>0</v>
      </c>
      <c r="J4" s="7">
        <v>8</v>
      </c>
      <c r="K4" s="7">
        <v>0</v>
      </c>
      <c r="L4" s="7">
        <v>2</v>
      </c>
      <c r="M4" s="7">
        <v>0</v>
      </c>
      <c r="N4" s="7">
        <v>22</v>
      </c>
      <c r="O4" s="7">
        <v>30</v>
      </c>
      <c r="P4" s="7">
        <v>5</v>
      </c>
      <c r="Q4" s="7">
        <v>3</v>
      </c>
      <c r="R4" s="11">
        <v>0</v>
      </c>
      <c r="S4" s="7">
        <f t="shared" si="0"/>
        <v>12.941176470588237</v>
      </c>
      <c r="T4" s="7">
        <f t="shared" si="1"/>
        <v>4.7058823529411766</v>
      </c>
      <c r="U4" s="7" t="str">
        <f t="shared" si="2"/>
        <v/>
      </c>
      <c r="V4" s="7">
        <f t="shared" si="3"/>
        <v>9.4117647058823533</v>
      </c>
      <c r="W4" s="7" t="str">
        <f t="shared" si="4"/>
        <v/>
      </c>
      <c r="X4" s="7">
        <f t="shared" si="5"/>
        <v>2.3529411764705883</v>
      </c>
      <c r="Y4" s="7" t="str">
        <f t="shared" si="6"/>
        <v/>
      </c>
      <c r="Z4" s="7">
        <f t="shared" si="7"/>
        <v>25.882352941176475</v>
      </c>
      <c r="AA4" s="7">
        <f t="shared" si="8"/>
        <v>35.294117647058826</v>
      </c>
      <c r="AB4" s="7">
        <f t="shared" si="9"/>
        <v>5.8823529411764701</v>
      </c>
      <c r="AC4" s="7">
        <f t="shared" si="10"/>
        <v>3.5294117647058822</v>
      </c>
      <c r="AD4" s="11" t="str">
        <f t="shared" si="11"/>
        <v/>
      </c>
    </row>
    <row r="5" spans="1:30" x14ac:dyDescent="0.2">
      <c r="A5" s="8" t="s">
        <v>80</v>
      </c>
      <c r="B5" s="8" t="s">
        <v>84</v>
      </c>
      <c r="C5" s="6">
        <v>4.0999999999999996</v>
      </c>
      <c r="D5" s="7">
        <v>1</v>
      </c>
      <c r="E5" s="7">
        <v>2</v>
      </c>
      <c r="F5" s="11">
        <v>65</v>
      </c>
      <c r="G5" s="7">
        <v>8</v>
      </c>
      <c r="H5" s="7">
        <v>12</v>
      </c>
      <c r="I5" s="7">
        <v>0</v>
      </c>
      <c r="J5" s="7">
        <v>2</v>
      </c>
      <c r="K5" s="7">
        <v>0</v>
      </c>
      <c r="L5" s="7">
        <v>0</v>
      </c>
      <c r="M5" s="7">
        <v>0</v>
      </c>
      <c r="N5" s="7">
        <v>3</v>
      </c>
      <c r="O5" s="7">
        <v>31</v>
      </c>
      <c r="P5" s="7">
        <v>7</v>
      </c>
      <c r="Q5" s="7">
        <v>0</v>
      </c>
      <c r="R5" s="11">
        <v>0</v>
      </c>
      <c r="S5" s="7">
        <f t="shared" si="0"/>
        <v>12.307692307692308</v>
      </c>
      <c r="T5" s="7">
        <f t="shared" si="1"/>
        <v>18.461538461538463</v>
      </c>
      <c r="U5" s="7" t="str">
        <f t="shared" si="2"/>
        <v/>
      </c>
      <c r="V5" s="7">
        <f t="shared" si="3"/>
        <v>3.0769230769230771</v>
      </c>
      <c r="W5" s="7" t="str">
        <f t="shared" si="4"/>
        <v/>
      </c>
      <c r="X5" s="7" t="str">
        <f t="shared" si="5"/>
        <v/>
      </c>
      <c r="Y5" s="7" t="str">
        <f t="shared" si="6"/>
        <v/>
      </c>
      <c r="Z5" s="7">
        <f t="shared" si="7"/>
        <v>4.6153846153846159</v>
      </c>
      <c r="AA5" s="7">
        <f t="shared" si="8"/>
        <v>47.692307692307693</v>
      </c>
      <c r="AB5" s="7">
        <f t="shared" si="9"/>
        <v>10.76923076923077</v>
      </c>
      <c r="AC5" s="7" t="str">
        <f t="shared" si="10"/>
        <v/>
      </c>
      <c r="AD5" s="11" t="str">
        <f t="shared" si="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E839-3D4B-4D47-8ABE-27AA33AA4405}">
  <dimension ref="A1:AV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27" width="6.7109375" style="7" customWidth="1"/>
    <col min="28" max="48" width="8.7109375" style="7" customWidth="1"/>
  </cols>
  <sheetData>
    <row r="1" spans="1:48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27</v>
      </c>
      <c r="H1" s="4" t="s">
        <v>28</v>
      </c>
      <c r="I1" s="4" t="s">
        <v>29</v>
      </c>
      <c r="J1" s="4" t="s">
        <v>30</v>
      </c>
      <c r="K1" s="4" t="s">
        <v>16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10" t="s">
        <v>46</v>
      </c>
      <c r="AB1" s="9" t="s">
        <v>97</v>
      </c>
      <c r="AC1" s="4" t="s">
        <v>98</v>
      </c>
      <c r="AD1" s="4" t="s">
        <v>99</v>
      </c>
      <c r="AE1" s="4" t="s">
        <v>100</v>
      </c>
      <c r="AF1" s="4" t="s">
        <v>86</v>
      </c>
      <c r="AG1" s="4" t="s">
        <v>101</v>
      </c>
      <c r="AH1" s="4" t="s">
        <v>102</v>
      </c>
      <c r="AI1" s="4" t="s">
        <v>103</v>
      </c>
      <c r="AJ1" s="4" t="s">
        <v>104</v>
      </c>
      <c r="AK1" s="4" t="s">
        <v>105</v>
      </c>
      <c r="AL1" s="4" t="s">
        <v>106</v>
      </c>
      <c r="AM1" s="4" t="s">
        <v>107</v>
      </c>
      <c r="AN1" s="4" t="s">
        <v>108</v>
      </c>
      <c r="AO1" s="4" t="s">
        <v>109</v>
      </c>
      <c r="AP1" s="4" t="s">
        <v>110</v>
      </c>
      <c r="AQ1" s="4" t="s">
        <v>111</v>
      </c>
      <c r="AR1" s="4" t="s">
        <v>112</v>
      </c>
      <c r="AS1" s="4" t="s">
        <v>113</v>
      </c>
      <c r="AT1" s="4" t="s">
        <v>114</v>
      </c>
      <c r="AU1" s="4" t="s">
        <v>115</v>
      </c>
      <c r="AV1" s="4" t="s">
        <v>116</v>
      </c>
    </row>
    <row r="2" spans="1:48" x14ac:dyDescent="0.2">
      <c r="A2" s="8" t="s">
        <v>80</v>
      </c>
      <c r="B2" s="8" t="s">
        <v>81</v>
      </c>
      <c r="C2" s="6">
        <v>2.8</v>
      </c>
      <c r="D2" s="7">
        <v>1</v>
      </c>
      <c r="E2" s="7">
        <v>2</v>
      </c>
      <c r="F2" s="11">
        <v>31</v>
      </c>
      <c r="G2" s="7">
        <v>1</v>
      </c>
      <c r="H2" s="7">
        <v>0</v>
      </c>
      <c r="I2" s="7">
        <v>1</v>
      </c>
      <c r="J2" s="7">
        <v>0</v>
      </c>
      <c r="K2" s="7">
        <v>0</v>
      </c>
      <c r="L2" s="7">
        <v>0</v>
      </c>
      <c r="M2" s="7">
        <v>2</v>
      </c>
      <c r="N2" s="7">
        <v>0</v>
      </c>
      <c r="O2" s="7">
        <v>0</v>
      </c>
      <c r="P2" s="7">
        <v>0</v>
      </c>
      <c r="Q2" s="7">
        <v>1</v>
      </c>
      <c r="R2" s="7">
        <v>3</v>
      </c>
      <c r="S2" s="7">
        <v>1</v>
      </c>
      <c r="T2" s="7">
        <v>9</v>
      </c>
      <c r="U2" s="7">
        <v>8</v>
      </c>
      <c r="V2" s="7">
        <v>0</v>
      </c>
      <c r="W2" s="7">
        <v>3</v>
      </c>
      <c r="X2" s="7">
        <v>0</v>
      </c>
      <c r="Y2" s="7">
        <v>0</v>
      </c>
      <c r="Z2" s="7">
        <v>0</v>
      </c>
      <c r="AA2" s="11">
        <v>0</v>
      </c>
      <c r="AB2" s="7">
        <f>IF(G2=0,"",G2/$F2*100)</f>
        <v>3.225806451612903</v>
      </c>
      <c r="AC2" s="7" t="str">
        <f>IF(H2=0,"",H2/$F2*100)</f>
        <v/>
      </c>
      <c r="AD2" s="7">
        <f>IF(I2=0,"",I2/$F2*100)</f>
        <v>3.225806451612903</v>
      </c>
      <c r="AE2" s="7" t="str">
        <f>IF(J2=0,"",J2/$F2*100)</f>
        <v/>
      </c>
      <c r="AF2" s="7" t="str">
        <f>IF(K2=0,"",K2/$F2*100)</f>
        <v/>
      </c>
      <c r="AG2" s="7" t="str">
        <f>IF(L2=0,"",L2/$F2*100)</f>
        <v/>
      </c>
      <c r="AH2" s="7">
        <f>IF(M2=0,"",M2/$F2*100)</f>
        <v>6.4516129032258061</v>
      </c>
      <c r="AI2" s="7" t="str">
        <f>IF(N2=0,"",N2/$F2*100)</f>
        <v/>
      </c>
      <c r="AJ2" s="7" t="str">
        <f>IF(O2=0,"",O2/$F2*100)</f>
        <v/>
      </c>
      <c r="AK2" s="7" t="str">
        <f>IF(P2=0,"",P2/$F2*100)</f>
        <v/>
      </c>
      <c r="AL2" s="7">
        <f>IF(Q2=0,"",Q2/$F2*100)</f>
        <v>3.225806451612903</v>
      </c>
      <c r="AM2" s="7">
        <f>IF(R2=0,"",R2/$F2*100)</f>
        <v>9.67741935483871</v>
      </c>
      <c r="AN2" s="7">
        <f>IF(S2=0,"",S2/$F2*100)</f>
        <v>3.225806451612903</v>
      </c>
      <c r="AO2" s="7">
        <f>IF(T2=0,"",T2/$F2*100)</f>
        <v>29.032258064516132</v>
      </c>
      <c r="AP2" s="7">
        <f>IF(U2=0,"",U2/$F2*100)</f>
        <v>25.806451612903224</v>
      </c>
      <c r="AQ2" s="7" t="str">
        <f>IF(V2=0,"",V2/$F2*100)</f>
        <v/>
      </c>
      <c r="AR2" s="7">
        <f>IF(W2=0,"",W2/$F2*100)</f>
        <v>9.67741935483871</v>
      </c>
      <c r="AS2" s="7" t="str">
        <f>IF(X2=0,"",X2/$F2*100)</f>
        <v/>
      </c>
      <c r="AT2" s="7" t="str">
        <f>IF(Y2=0,"",Y2/$F2*100)</f>
        <v/>
      </c>
      <c r="AU2" s="7" t="str">
        <f>IF(Z2=0,"",Z2/$F2*100)</f>
        <v/>
      </c>
      <c r="AV2" s="7" t="str">
        <f>IF(AA2=0,"",AA2/$F2*100)</f>
        <v/>
      </c>
    </row>
    <row r="3" spans="1:48" x14ac:dyDescent="0.2">
      <c r="A3" s="8" t="s">
        <v>80</v>
      </c>
      <c r="B3" s="8" t="s">
        <v>82</v>
      </c>
      <c r="C3" s="6">
        <v>8.4</v>
      </c>
      <c r="D3" s="7">
        <v>4</v>
      </c>
      <c r="E3" s="7">
        <v>8</v>
      </c>
      <c r="F3" s="11">
        <v>229</v>
      </c>
      <c r="G3" s="7">
        <v>0</v>
      </c>
      <c r="H3" s="7">
        <v>0</v>
      </c>
      <c r="I3" s="7">
        <v>23</v>
      </c>
      <c r="J3" s="7">
        <v>0</v>
      </c>
      <c r="K3" s="7">
        <v>0</v>
      </c>
      <c r="L3" s="7">
        <v>5</v>
      </c>
      <c r="M3" s="7">
        <v>1</v>
      </c>
      <c r="N3" s="7">
        <v>0</v>
      </c>
      <c r="O3" s="7">
        <v>4</v>
      </c>
      <c r="P3" s="7">
        <v>0</v>
      </c>
      <c r="Q3" s="7">
        <v>0</v>
      </c>
      <c r="R3" s="7">
        <v>4</v>
      </c>
      <c r="S3" s="7">
        <v>23</v>
      </c>
      <c r="T3" s="7">
        <v>23</v>
      </c>
      <c r="U3" s="7">
        <v>79</v>
      </c>
      <c r="V3" s="7">
        <v>4</v>
      </c>
      <c r="W3" s="7">
        <v>11</v>
      </c>
      <c r="X3" s="7">
        <v>0</v>
      </c>
      <c r="Y3" s="7">
        <v>11</v>
      </c>
      <c r="Z3" s="7">
        <v>9</v>
      </c>
      <c r="AA3" s="11">
        <v>1</v>
      </c>
      <c r="AB3" s="7" t="str">
        <f t="shared" ref="AB3:AB5" si="0">IF(G3=0,"",G3/$F3*100)</f>
        <v/>
      </c>
      <c r="AC3" s="7" t="str">
        <f t="shared" ref="AC3:AC5" si="1">IF(H3=0,"",H3/$F3*100)</f>
        <v/>
      </c>
      <c r="AD3" s="7">
        <f t="shared" ref="AD3:AD5" si="2">IF(I3=0,"",I3/$F3*100)</f>
        <v>10.043668122270741</v>
      </c>
      <c r="AE3" s="7" t="str">
        <f t="shared" ref="AE3:AE5" si="3">IF(J3=0,"",J3/$F3*100)</f>
        <v/>
      </c>
      <c r="AF3" s="7" t="str">
        <f t="shared" ref="AF3:AF5" si="4">IF(K3=0,"",K3/$F3*100)</f>
        <v/>
      </c>
      <c r="AG3" s="7">
        <f t="shared" ref="AG3:AG5" si="5">IF(L3=0,"",L3/$F3*100)</f>
        <v>2.1834061135371177</v>
      </c>
      <c r="AH3" s="7">
        <f t="shared" ref="AH3:AH5" si="6">IF(M3=0,"",M3/$F3*100)</f>
        <v>0.43668122270742354</v>
      </c>
      <c r="AI3" s="7" t="str">
        <f t="shared" ref="AI3:AI5" si="7">IF(N3=0,"",N3/$F3*100)</f>
        <v/>
      </c>
      <c r="AJ3" s="7">
        <f t="shared" ref="AJ3:AJ5" si="8">IF(O3=0,"",O3/$F3*100)</f>
        <v>1.7467248908296942</v>
      </c>
      <c r="AK3" s="7" t="str">
        <f t="shared" ref="AK3:AK5" si="9">IF(P3=0,"",P3/$F3*100)</f>
        <v/>
      </c>
      <c r="AL3" s="7" t="str">
        <f t="shared" ref="AL3:AL5" si="10">IF(Q3=0,"",Q3/$F3*100)</f>
        <v/>
      </c>
      <c r="AM3" s="7">
        <f t="shared" ref="AM3:AM5" si="11">IF(R3=0,"",R3/$F3*100)</f>
        <v>1.7467248908296942</v>
      </c>
      <c r="AN3" s="7">
        <f t="shared" ref="AN3:AN5" si="12">IF(S3=0,"",S3/$F3*100)</f>
        <v>10.043668122270741</v>
      </c>
      <c r="AO3" s="7">
        <f t="shared" ref="AO3:AO5" si="13">IF(T3=0,"",T3/$F3*100)</f>
        <v>10.043668122270741</v>
      </c>
      <c r="AP3" s="7">
        <f t="shared" ref="AP3:AP5" si="14">IF(U3=0,"",U3/$F3*100)</f>
        <v>34.497816593886469</v>
      </c>
      <c r="AQ3" s="7">
        <f t="shared" ref="AQ3:AQ5" si="15">IF(V3=0,"",V3/$F3*100)</f>
        <v>1.7467248908296942</v>
      </c>
      <c r="AR3" s="7">
        <f t="shared" ref="AR3:AR5" si="16">IF(W3=0,"",W3/$F3*100)</f>
        <v>4.8034934497816595</v>
      </c>
      <c r="AS3" s="7" t="str">
        <f t="shared" ref="AS3:AS5" si="17">IF(X3=0,"",X3/$F3*100)</f>
        <v/>
      </c>
      <c r="AT3" s="7">
        <f t="shared" ref="AT3:AT5" si="18">IF(Y3=0,"",Y3/$F3*100)</f>
        <v>4.8034934497816595</v>
      </c>
      <c r="AU3" s="7">
        <f t="shared" ref="AU3:AU5" si="19">IF(Z3=0,"",Z3/$F3*100)</f>
        <v>3.9301310043668125</v>
      </c>
      <c r="AV3" s="7">
        <f t="shared" ref="AV3:AV5" si="20">IF(AA3=0,"",AA3/$F3*100)</f>
        <v>0.43668122270742354</v>
      </c>
    </row>
    <row r="4" spans="1:48" x14ac:dyDescent="0.2">
      <c r="A4" s="8" t="s">
        <v>80</v>
      </c>
      <c r="B4" s="8" t="s">
        <v>83</v>
      </c>
      <c r="C4" s="6">
        <v>2.1</v>
      </c>
      <c r="D4" s="7">
        <v>2</v>
      </c>
      <c r="E4" s="7">
        <v>4</v>
      </c>
      <c r="F4" s="11">
        <v>85</v>
      </c>
      <c r="G4" s="7">
        <v>8</v>
      </c>
      <c r="H4" s="7">
        <v>3</v>
      </c>
      <c r="I4" s="7">
        <v>4</v>
      </c>
      <c r="J4" s="7">
        <v>0</v>
      </c>
      <c r="K4" s="7">
        <v>0</v>
      </c>
      <c r="L4" s="7">
        <v>0</v>
      </c>
      <c r="M4" s="7">
        <v>8</v>
      </c>
      <c r="N4" s="7">
        <v>0</v>
      </c>
      <c r="O4" s="7">
        <v>2</v>
      </c>
      <c r="P4" s="7">
        <v>0</v>
      </c>
      <c r="Q4" s="7">
        <v>0</v>
      </c>
      <c r="R4" s="7">
        <v>12</v>
      </c>
      <c r="S4" s="7">
        <v>9</v>
      </c>
      <c r="T4" s="7">
        <v>1</v>
      </c>
      <c r="U4" s="7">
        <v>25</v>
      </c>
      <c r="V4" s="7">
        <v>1</v>
      </c>
      <c r="W4" s="7">
        <v>1</v>
      </c>
      <c r="X4" s="7">
        <v>0</v>
      </c>
      <c r="Y4" s="7">
        <v>5</v>
      </c>
      <c r="Z4" s="7">
        <v>3</v>
      </c>
      <c r="AA4" s="11">
        <v>0</v>
      </c>
      <c r="AB4" s="7">
        <f t="shared" si="0"/>
        <v>9.4117647058823533</v>
      </c>
      <c r="AC4" s="7">
        <f t="shared" si="1"/>
        <v>3.5294117647058822</v>
      </c>
      <c r="AD4" s="7">
        <f t="shared" si="2"/>
        <v>4.7058823529411766</v>
      </c>
      <c r="AE4" s="7" t="str">
        <f t="shared" si="3"/>
        <v/>
      </c>
      <c r="AF4" s="7" t="str">
        <f t="shared" si="4"/>
        <v/>
      </c>
      <c r="AG4" s="7" t="str">
        <f t="shared" si="5"/>
        <v/>
      </c>
      <c r="AH4" s="7">
        <f t="shared" si="6"/>
        <v>9.4117647058823533</v>
      </c>
      <c r="AI4" s="7" t="str">
        <f t="shared" si="7"/>
        <v/>
      </c>
      <c r="AJ4" s="7">
        <f t="shared" si="8"/>
        <v>2.3529411764705883</v>
      </c>
      <c r="AK4" s="7" t="str">
        <f t="shared" si="9"/>
        <v/>
      </c>
      <c r="AL4" s="7" t="str">
        <f t="shared" si="10"/>
        <v/>
      </c>
      <c r="AM4" s="7">
        <f t="shared" si="11"/>
        <v>14.117647058823529</v>
      </c>
      <c r="AN4" s="7">
        <f t="shared" si="12"/>
        <v>10.588235294117647</v>
      </c>
      <c r="AO4" s="7">
        <f t="shared" si="13"/>
        <v>1.1764705882352942</v>
      </c>
      <c r="AP4" s="7">
        <f t="shared" si="14"/>
        <v>29.411764705882355</v>
      </c>
      <c r="AQ4" s="7">
        <f t="shared" si="15"/>
        <v>1.1764705882352942</v>
      </c>
      <c r="AR4" s="7">
        <f t="shared" si="16"/>
        <v>1.1764705882352942</v>
      </c>
      <c r="AS4" s="7" t="str">
        <f t="shared" si="17"/>
        <v/>
      </c>
      <c r="AT4" s="7">
        <f t="shared" si="18"/>
        <v>5.8823529411764701</v>
      </c>
      <c r="AU4" s="7">
        <f t="shared" si="19"/>
        <v>3.5294117647058822</v>
      </c>
      <c r="AV4" s="7" t="str">
        <f t="shared" si="20"/>
        <v/>
      </c>
    </row>
    <row r="5" spans="1:48" x14ac:dyDescent="0.2">
      <c r="A5" s="8" t="s">
        <v>80</v>
      </c>
      <c r="B5" s="8" t="s">
        <v>84</v>
      </c>
      <c r="C5" s="6">
        <v>4.0999999999999996</v>
      </c>
      <c r="D5" s="7">
        <v>1</v>
      </c>
      <c r="E5" s="7">
        <v>2</v>
      </c>
      <c r="F5" s="11">
        <v>65</v>
      </c>
      <c r="G5" s="7">
        <v>0</v>
      </c>
      <c r="H5" s="7">
        <v>8</v>
      </c>
      <c r="I5" s="7">
        <v>12</v>
      </c>
      <c r="J5" s="7">
        <v>0</v>
      </c>
      <c r="K5" s="7">
        <v>0</v>
      </c>
      <c r="L5" s="7">
        <v>0</v>
      </c>
      <c r="M5" s="7">
        <v>2</v>
      </c>
      <c r="N5" s="7">
        <v>0</v>
      </c>
      <c r="O5" s="7">
        <v>0</v>
      </c>
      <c r="P5" s="7">
        <v>0</v>
      </c>
      <c r="Q5" s="7">
        <v>0</v>
      </c>
      <c r="R5" s="7">
        <v>1</v>
      </c>
      <c r="S5" s="7">
        <v>2</v>
      </c>
      <c r="T5" s="7">
        <v>0</v>
      </c>
      <c r="U5" s="7">
        <v>28</v>
      </c>
      <c r="V5" s="7">
        <v>2</v>
      </c>
      <c r="W5" s="7">
        <v>0</v>
      </c>
      <c r="X5" s="7">
        <v>3</v>
      </c>
      <c r="Y5" s="7">
        <v>4</v>
      </c>
      <c r="Z5" s="7">
        <v>0</v>
      </c>
      <c r="AA5" s="11">
        <v>0</v>
      </c>
      <c r="AB5" s="7" t="str">
        <f t="shared" si="0"/>
        <v/>
      </c>
      <c r="AC5" s="7">
        <f t="shared" si="1"/>
        <v>12.307692307692308</v>
      </c>
      <c r="AD5" s="7">
        <f t="shared" si="2"/>
        <v>18.461538461538463</v>
      </c>
      <c r="AE5" s="7" t="str">
        <f t="shared" si="3"/>
        <v/>
      </c>
      <c r="AF5" s="7" t="str">
        <f t="shared" si="4"/>
        <v/>
      </c>
      <c r="AG5" s="7" t="str">
        <f t="shared" si="5"/>
        <v/>
      </c>
      <c r="AH5" s="7">
        <f t="shared" si="6"/>
        <v>3.0769230769230771</v>
      </c>
      <c r="AI5" s="7" t="str">
        <f t="shared" si="7"/>
        <v/>
      </c>
      <c r="AJ5" s="7" t="str">
        <f t="shared" si="8"/>
        <v/>
      </c>
      <c r="AK5" s="7" t="str">
        <f t="shared" si="9"/>
        <v/>
      </c>
      <c r="AL5" s="7" t="str">
        <f t="shared" si="10"/>
        <v/>
      </c>
      <c r="AM5" s="7">
        <f t="shared" si="11"/>
        <v>1.5384615384615385</v>
      </c>
      <c r="AN5" s="7">
        <f t="shared" si="12"/>
        <v>3.0769230769230771</v>
      </c>
      <c r="AO5" s="7" t="str">
        <f t="shared" si="13"/>
        <v/>
      </c>
      <c r="AP5" s="7">
        <f t="shared" si="14"/>
        <v>43.07692307692308</v>
      </c>
      <c r="AQ5" s="7">
        <f t="shared" si="15"/>
        <v>3.0769230769230771</v>
      </c>
      <c r="AR5" s="7" t="str">
        <f t="shared" si="16"/>
        <v/>
      </c>
      <c r="AS5" s="7">
        <f t="shared" si="17"/>
        <v>4.6153846153846159</v>
      </c>
      <c r="AT5" s="7">
        <f t="shared" si="18"/>
        <v>6.1538461538461542</v>
      </c>
      <c r="AU5" s="7" t="str">
        <f t="shared" si="19"/>
        <v/>
      </c>
      <c r="AV5" s="7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2025-09-23T17:31:30Z</dcterms:created>
  <dcterms:modified xsi:type="dcterms:W3CDTF">2025-09-23T17:31:31Z</dcterms:modified>
</cp:coreProperties>
</file>