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4cm\"/>
    </mc:Choice>
  </mc:AlternateContent>
  <xr:revisionPtr revIDLastSave="0" documentId="8_{B4A3E500-53DA-4267-914D-2BE15B4BD345}" xr6:coauthVersionLast="47" xr6:coauthVersionMax="47" xr10:uidLastSave="{00000000-0000-0000-0000-000000000000}"/>
  <bookViews>
    <workbookView xWindow="-990" yWindow="-16920" windowWidth="28800" windowHeight="15435" xr2:uid="{EEDCFBAB-6487-492E-92F1-512701382ADD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" i="3" l="1"/>
  <c r="BC4" i="3"/>
  <c r="BC5" i="3"/>
  <c r="BC6" i="3"/>
  <c r="BC7" i="3"/>
  <c r="BC8" i="3"/>
  <c r="BC9" i="3"/>
  <c r="BC2" i="3"/>
  <c r="BB3" i="3"/>
  <c r="BB4" i="3"/>
  <c r="BB5" i="3"/>
  <c r="BB6" i="3"/>
  <c r="BB7" i="3"/>
  <c r="BB8" i="3"/>
  <c r="BB9" i="3"/>
  <c r="BB2" i="3"/>
  <c r="BA3" i="3"/>
  <c r="BA4" i="3"/>
  <c r="BA5" i="3"/>
  <c r="BA6" i="3"/>
  <c r="BA7" i="3"/>
  <c r="BA8" i="3"/>
  <c r="BA9" i="3"/>
  <c r="BA2" i="3"/>
  <c r="AZ3" i="3"/>
  <c r="AZ4" i="3"/>
  <c r="AZ5" i="3"/>
  <c r="AZ6" i="3"/>
  <c r="AZ7" i="3"/>
  <c r="AZ8" i="3"/>
  <c r="AZ9" i="3"/>
  <c r="AZ2" i="3"/>
  <c r="AY3" i="3"/>
  <c r="AY4" i="3"/>
  <c r="AY5" i="3"/>
  <c r="AY6" i="3"/>
  <c r="AY7" i="3"/>
  <c r="AY8" i="3"/>
  <c r="AY9" i="3"/>
  <c r="AY2" i="3"/>
  <c r="AX3" i="3"/>
  <c r="AX4" i="3"/>
  <c r="AX5" i="3"/>
  <c r="AX6" i="3"/>
  <c r="AX7" i="3"/>
  <c r="AX8" i="3"/>
  <c r="AX9" i="3"/>
  <c r="AX2" i="3"/>
  <c r="AW3" i="3"/>
  <c r="AW4" i="3"/>
  <c r="AW5" i="3"/>
  <c r="AW6" i="3"/>
  <c r="AW7" i="3"/>
  <c r="AW8" i="3"/>
  <c r="AW9" i="3"/>
  <c r="AW2" i="3"/>
  <c r="AV3" i="3"/>
  <c r="AV4" i="3"/>
  <c r="AV5" i="3"/>
  <c r="AV6" i="3"/>
  <c r="AV7" i="3"/>
  <c r="AV8" i="3"/>
  <c r="AV9" i="3"/>
  <c r="AV2" i="3"/>
  <c r="AU3" i="3"/>
  <c r="AU4" i="3"/>
  <c r="AU5" i="3"/>
  <c r="AU6" i="3"/>
  <c r="AU7" i="3"/>
  <c r="AU8" i="3"/>
  <c r="AU9" i="3"/>
  <c r="AU2" i="3"/>
  <c r="AT3" i="3"/>
  <c r="AT4" i="3"/>
  <c r="AT5" i="3"/>
  <c r="AT6" i="3"/>
  <c r="AT7" i="3"/>
  <c r="AT8" i="3"/>
  <c r="AT9" i="3"/>
  <c r="AT2" i="3"/>
  <c r="AS3" i="3"/>
  <c r="AS4" i="3"/>
  <c r="AS5" i="3"/>
  <c r="AS6" i="3"/>
  <c r="AS7" i="3"/>
  <c r="AS8" i="3"/>
  <c r="AS9" i="3"/>
  <c r="AS2" i="3"/>
  <c r="AR3" i="3"/>
  <c r="AR4" i="3"/>
  <c r="AR5" i="3"/>
  <c r="AR6" i="3"/>
  <c r="AR7" i="3"/>
  <c r="AR8" i="3"/>
  <c r="AR9" i="3"/>
  <c r="AR2" i="3"/>
  <c r="AQ3" i="3"/>
  <c r="AQ4" i="3"/>
  <c r="AQ5" i="3"/>
  <c r="AQ6" i="3"/>
  <c r="AQ7" i="3"/>
  <c r="AQ8" i="3"/>
  <c r="AQ9" i="3"/>
  <c r="AQ2" i="3"/>
  <c r="AP3" i="3"/>
  <c r="AP4" i="3"/>
  <c r="AP5" i="3"/>
  <c r="AP6" i="3"/>
  <c r="AP7" i="3"/>
  <c r="AP8" i="3"/>
  <c r="AP9" i="3"/>
  <c r="AP2" i="3"/>
  <c r="AO3" i="3"/>
  <c r="AO4" i="3"/>
  <c r="AO5" i="3"/>
  <c r="AO6" i="3"/>
  <c r="AO7" i="3"/>
  <c r="AO8" i="3"/>
  <c r="AO9" i="3"/>
  <c r="AO2" i="3"/>
  <c r="AN3" i="3"/>
  <c r="AN4" i="3"/>
  <c r="AN5" i="3"/>
  <c r="AN6" i="3"/>
  <c r="AN7" i="3"/>
  <c r="AN8" i="3"/>
  <c r="AN9" i="3"/>
  <c r="AN2" i="3"/>
  <c r="AM3" i="3"/>
  <c r="AM4" i="3"/>
  <c r="AM5" i="3"/>
  <c r="AM6" i="3"/>
  <c r="AM7" i="3"/>
  <c r="AM8" i="3"/>
  <c r="AM9" i="3"/>
  <c r="AM2" i="3"/>
  <c r="AL3" i="3"/>
  <c r="AL4" i="3"/>
  <c r="AL5" i="3"/>
  <c r="AL6" i="3"/>
  <c r="AL7" i="3"/>
  <c r="AL8" i="3"/>
  <c r="AL9" i="3"/>
  <c r="AL2" i="3"/>
  <c r="AK3" i="3"/>
  <c r="AK4" i="3"/>
  <c r="AK5" i="3"/>
  <c r="AK6" i="3"/>
  <c r="AK7" i="3"/>
  <c r="AK8" i="3"/>
  <c r="AK9" i="3"/>
  <c r="AK2" i="3"/>
  <c r="AJ3" i="3"/>
  <c r="AJ4" i="3"/>
  <c r="AJ5" i="3"/>
  <c r="AJ6" i="3"/>
  <c r="AJ7" i="3"/>
  <c r="AJ8" i="3"/>
  <c r="AJ9" i="3"/>
  <c r="AJ2" i="3"/>
  <c r="AI3" i="3"/>
  <c r="AI4" i="3"/>
  <c r="AI5" i="3"/>
  <c r="AI6" i="3"/>
  <c r="AI7" i="3"/>
  <c r="AI8" i="3"/>
  <c r="AI9" i="3"/>
  <c r="AI2" i="3"/>
  <c r="AK3" i="2"/>
  <c r="AK4" i="2"/>
  <c r="AK5" i="2"/>
  <c r="AK6" i="2"/>
  <c r="AK7" i="2"/>
  <c r="AK8" i="2"/>
  <c r="AK9" i="2"/>
  <c r="AK2" i="2"/>
  <c r="AJ3" i="2"/>
  <c r="AJ4" i="2"/>
  <c r="AJ5" i="2"/>
  <c r="AJ6" i="2"/>
  <c r="AJ7" i="2"/>
  <c r="AJ8" i="2"/>
  <c r="AJ9" i="2"/>
  <c r="AJ2" i="2"/>
  <c r="AI3" i="2"/>
  <c r="AI4" i="2"/>
  <c r="AI5" i="2"/>
  <c r="AI6" i="2"/>
  <c r="AI7" i="2"/>
  <c r="AI8" i="2"/>
  <c r="AI9" i="2"/>
  <c r="AI2" i="2"/>
  <c r="AH3" i="2"/>
  <c r="AH4" i="2"/>
  <c r="AH5" i="2"/>
  <c r="AH6" i="2"/>
  <c r="AH7" i="2"/>
  <c r="AH8" i="2"/>
  <c r="AH9" i="2"/>
  <c r="AH2" i="2"/>
  <c r="AG3" i="2"/>
  <c r="AG4" i="2"/>
  <c r="AG5" i="2"/>
  <c r="AG6" i="2"/>
  <c r="AG7" i="2"/>
  <c r="AG8" i="2"/>
  <c r="AG9" i="2"/>
  <c r="AG2" i="2"/>
  <c r="AF3" i="2"/>
  <c r="AF4" i="2"/>
  <c r="AF5" i="2"/>
  <c r="AF6" i="2"/>
  <c r="AF7" i="2"/>
  <c r="AF8" i="2"/>
  <c r="AF9" i="2"/>
  <c r="AF2" i="2"/>
  <c r="AE3" i="2"/>
  <c r="AE4" i="2"/>
  <c r="AE5" i="2"/>
  <c r="AE6" i="2"/>
  <c r="AE7" i="2"/>
  <c r="AE8" i="2"/>
  <c r="AE9" i="2"/>
  <c r="AE2" i="2"/>
  <c r="AD3" i="2"/>
  <c r="AD4" i="2"/>
  <c r="AD5" i="2"/>
  <c r="AD6" i="2"/>
  <c r="AD7" i="2"/>
  <c r="AD8" i="2"/>
  <c r="AD9" i="2"/>
  <c r="AD2" i="2"/>
  <c r="AC3" i="2"/>
  <c r="AC4" i="2"/>
  <c r="AC5" i="2"/>
  <c r="AC6" i="2"/>
  <c r="AC7" i="2"/>
  <c r="AC8" i="2"/>
  <c r="AC9" i="2"/>
  <c r="AC2" i="2"/>
  <c r="AB3" i="2"/>
  <c r="AB4" i="2"/>
  <c r="AB5" i="2"/>
  <c r="AB6" i="2"/>
  <c r="AB7" i="2"/>
  <c r="AB8" i="2"/>
  <c r="AB9" i="2"/>
  <c r="AB2" i="2"/>
  <c r="AA3" i="2"/>
  <c r="AA4" i="2"/>
  <c r="AA5" i="2"/>
  <c r="AA6" i="2"/>
  <c r="AA7" i="2"/>
  <c r="AA8" i="2"/>
  <c r="AA9" i="2"/>
  <c r="AA2" i="2"/>
  <c r="Z3" i="2"/>
  <c r="Z4" i="2"/>
  <c r="Z5" i="2"/>
  <c r="Z6" i="2"/>
  <c r="Z7" i="2"/>
  <c r="Z8" i="2"/>
  <c r="Z9" i="2"/>
  <c r="Z2" i="2"/>
</calcChain>
</file>

<file path=xl/sharedStrings.xml><?xml version="1.0" encoding="utf-8"?>
<sst xmlns="http://schemas.openxmlformats.org/spreadsheetml/2006/main" count="317" uniqueCount="161">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</sst>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#0"/>
    <numFmt numFmtId="166" formatCode="yyyy\-mm\-dd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F27A-0FD4-4E42-9EDD-D911A382BB02}">
  <dimension ref="A1:C55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2" t="s">
        <v>61</v>
      </c>
    </row>
    <row r="17" spans="1:2" x14ac:dyDescent="0.2">
      <c r="A17" s="5" t="s">
        <v>30</v>
      </c>
      <c r="B17" s="2" t="s">
        <v>62</v>
      </c>
    </row>
    <row r="18" spans="1:2" x14ac:dyDescent="0.2">
      <c r="A18" s="5" t="s">
        <v>31</v>
      </c>
      <c r="B18" s="2" t="s">
        <v>63</v>
      </c>
    </row>
    <row r="19" spans="1:2" x14ac:dyDescent="0.2">
      <c r="A19" s="5" t="s">
        <v>32</v>
      </c>
      <c r="B19" s="2" t="s">
        <v>64</v>
      </c>
    </row>
    <row r="20" spans="1:2" x14ac:dyDescent="0.2">
      <c r="A20" s="5" t="s">
        <v>33</v>
      </c>
      <c r="B20" s="2" t="s">
        <v>65</v>
      </c>
    </row>
    <row r="21" spans="1:2" x14ac:dyDescent="0.2">
      <c r="A21" s="5" t="s">
        <v>34</v>
      </c>
      <c r="B21" s="2" t="s">
        <v>66</v>
      </c>
    </row>
    <row r="22" spans="1:2" x14ac:dyDescent="0.2">
      <c r="A22" s="5" t="s">
        <v>35</v>
      </c>
      <c r="B22" s="2" t="s">
        <v>67</v>
      </c>
    </row>
    <row r="23" spans="1:2" x14ac:dyDescent="0.2">
      <c r="A23" s="5" t="s">
        <v>36</v>
      </c>
      <c r="B23" s="2" t="s">
        <v>68</v>
      </c>
    </row>
    <row r="24" spans="1:2" x14ac:dyDescent="0.2">
      <c r="A24" s="5" t="s">
        <v>37</v>
      </c>
      <c r="B24" s="2" t="s">
        <v>69</v>
      </c>
    </row>
    <row r="25" spans="1:2" x14ac:dyDescent="0.2">
      <c r="A25" s="5" t="s">
        <v>38</v>
      </c>
      <c r="B25" s="2" t="s">
        <v>70</v>
      </c>
    </row>
    <row r="26" spans="1:2" x14ac:dyDescent="0.2">
      <c r="A26" s="5" t="s">
        <v>39</v>
      </c>
      <c r="B26" s="2" t="s">
        <v>71</v>
      </c>
    </row>
    <row r="27" spans="1:2" x14ac:dyDescent="0.2">
      <c r="A27" s="5" t="s">
        <v>40</v>
      </c>
      <c r="B27" s="2" t="s">
        <v>72</v>
      </c>
    </row>
    <row r="28" spans="1:2" x14ac:dyDescent="0.2">
      <c r="A28" s="5" t="s">
        <v>41</v>
      </c>
      <c r="B28" s="2" t="s">
        <v>73</v>
      </c>
    </row>
    <row r="29" spans="1:2" x14ac:dyDescent="0.2">
      <c r="A29" s="5" t="s">
        <v>42</v>
      </c>
      <c r="B29" s="2" t="s">
        <v>74</v>
      </c>
    </row>
    <row r="30" spans="1:2" x14ac:dyDescent="0.2">
      <c r="A30" s="5" t="s">
        <v>43</v>
      </c>
      <c r="B30" s="2" t="s">
        <v>75</v>
      </c>
    </row>
    <row r="31" spans="1:2" x14ac:dyDescent="0.2">
      <c r="A31" s="5" t="s">
        <v>44</v>
      </c>
      <c r="B31" s="2" t="s">
        <v>76</v>
      </c>
    </row>
    <row r="32" spans="1:2" x14ac:dyDescent="0.2">
      <c r="A32" s="5" t="s">
        <v>30</v>
      </c>
      <c r="B32" s="2" t="s">
        <v>77</v>
      </c>
    </row>
    <row r="33" spans="1:2" x14ac:dyDescent="0.2">
      <c r="A33" s="5" t="s">
        <v>45</v>
      </c>
      <c r="B33" s="2" t="s">
        <v>78</v>
      </c>
    </row>
    <row r="34" spans="1:2" x14ac:dyDescent="0.2">
      <c r="A34" s="5" t="s">
        <v>46</v>
      </c>
      <c r="B34" s="2" t="s">
        <v>79</v>
      </c>
    </row>
    <row r="35" spans="1:2" x14ac:dyDescent="0.2">
      <c r="A35" s="5" t="s">
        <v>47</v>
      </c>
      <c r="B35" s="2" t="s">
        <v>80</v>
      </c>
    </row>
    <row r="36" spans="1:2" x14ac:dyDescent="0.2">
      <c r="A36" s="5" t="s">
        <v>48</v>
      </c>
      <c r="B36" s="2" t="s">
        <v>81</v>
      </c>
    </row>
    <row r="37" spans="1:2" x14ac:dyDescent="0.2">
      <c r="A37" s="5" t="s">
        <v>49</v>
      </c>
      <c r="B37" s="2" t="s">
        <v>82</v>
      </c>
    </row>
    <row r="38" spans="1:2" x14ac:dyDescent="0.2">
      <c r="A38" s="5" t="s">
        <v>50</v>
      </c>
      <c r="B38" s="2" t="s">
        <v>83</v>
      </c>
    </row>
    <row r="39" spans="1:2" x14ac:dyDescent="0.2">
      <c r="A39" s="5" t="s">
        <v>51</v>
      </c>
      <c r="B39" s="2" t="s">
        <v>84</v>
      </c>
    </row>
    <row r="40" spans="1:2" x14ac:dyDescent="0.2">
      <c r="A40" s="5" t="s">
        <v>52</v>
      </c>
      <c r="B40" s="2" t="s">
        <v>85</v>
      </c>
    </row>
    <row r="41" spans="1:2" x14ac:dyDescent="0.2">
      <c r="A41" s="5" t="s">
        <v>53</v>
      </c>
      <c r="B41" s="2" t="s">
        <v>86</v>
      </c>
    </row>
    <row r="42" spans="1:2" x14ac:dyDescent="0.2">
      <c r="A42" s="5" t="s">
        <v>54</v>
      </c>
      <c r="B42" s="2" t="s">
        <v>87</v>
      </c>
    </row>
    <row r="43" spans="1:2" x14ac:dyDescent="0.2">
      <c r="A43" s="5" t="s">
        <v>55</v>
      </c>
      <c r="B43" s="2" t="s">
        <v>88</v>
      </c>
    </row>
    <row r="44" spans="1:2" x14ac:dyDescent="0.2">
      <c r="A44" s="5" t="s">
        <v>56</v>
      </c>
      <c r="B44" s="2" t="s">
        <v>89</v>
      </c>
    </row>
    <row r="45" spans="1:2" x14ac:dyDescent="0.2">
      <c r="A45" s="5" t="s">
        <v>57</v>
      </c>
      <c r="B45" s="2" t="s">
        <v>90</v>
      </c>
    </row>
    <row r="46" spans="1:2" x14ac:dyDescent="0.2">
      <c r="A46" s="5" t="s">
        <v>58</v>
      </c>
      <c r="B46" s="2" t="s">
        <v>91</v>
      </c>
    </row>
    <row r="47" spans="1:2" x14ac:dyDescent="0.2">
      <c r="A47" s="5" t="s">
        <v>59</v>
      </c>
      <c r="B47" s="2" t="s">
        <v>92</v>
      </c>
    </row>
    <row r="48" spans="1:2" x14ac:dyDescent="0.2">
      <c r="A48" s="5" t="s">
        <v>60</v>
      </c>
      <c r="B48" s="2" t="s">
        <v>93</v>
      </c>
    </row>
    <row r="50" spans="1:3" x14ac:dyDescent="0.2">
      <c r="A50" s="4" t="s">
        <v>3</v>
      </c>
      <c r="B50" s="4" t="s">
        <v>2</v>
      </c>
      <c r="C50" s="4" t="s">
        <v>94</v>
      </c>
    </row>
    <row r="51" spans="1:3" x14ac:dyDescent="0.2">
      <c r="A51" s="1" t="s">
        <v>95</v>
      </c>
      <c r="B51" s="1" t="s">
        <v>96</v>
      </c>
      <c r="C51" s="1" t="s">
        <v>97</v>
      </c>
    </row>
    <row r="52" spans="1:3" x14ac:dyDescent="0.2">
      <c r="A52" s="1" t="s">
        <v>98</v>
      </c>
      <c r="B52" s="1" t="s">
        <v>99</v>
      </c>
      <c r="C52" s="1" t="s">
        <v>100</v>
      </c>
    </row>
    <row r="53" spans="1:3" x14ac:dyDescent="0.2">
      <c r="A53" s="1" t="s">
        <v>101</v>
      </c>
      <c r="B53" s="1" t="s">
        <v>102</v>
      </c>
      <c r="C53" s="1" t="s">
        <v>100</v>
      </c>
    </row>
    <row r="54" spans="1:3" x14ac:dyDescent="0.2">
      <c r="A54" s="1" t="s">
        <v>103</v>
      </c>
      <c r="B54" s="1" t="s">
        <v>104</v>
      </c>
      <c r="C54" s="1" t="s">
        <v>100</v>
      </c>
    </row>
    <row r="55" spans="1:3" x14ac:dyDescent="0.2">
      <c r="A55" s="1" t="s">
        <v>105</v>
      </c>
      <c r="B55" s="1" t="s">
        <v>106</v>
      </c>
      <c r="C55" s="1" t="s">
        <v>100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053A-DA52-45A6-BBAE-DB8F3A3EB1EB}">
  <dimension ref="A1:AK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10" customWidth="1"/>
    <col min="11" max="11" width="6.7109375" style="8" customWidth="1"/>
    <col min="12" max="13" width="4.7109375" style="7" customWidth="1"/>
    <col min="14" max="25" width="6.7109375" style="7" customWidth="1"/>
    <col min="26" max="37" width="8.7109375" style="7" customWidth="1"/>
  </cols>
  <sheetData>
    <row r="1" spans="1:37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12" t="s">
        <v>27</v>
      </c>
      <c r="N1" s="11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12" t="s">
        <v>40</v>
      </c>
      <c r="Z1" s="11" t="s">
        <v>129</v>
      </c>
      <c r="AA1" s="4" t="s">
        <v>130</v>
      </c>
      <c r="AB1" s="4" t="s">
        <v>131</v>
      </c>
      <c r="AC1" s="4" t="s">
        <v>132</v>
      </c>
      <c r="AD1" s="4" t="s">
        <v>133</v>
      </c>
      <c r="AE1" s="4" t="s">
        <v>134</v>
      </c>
      <c r="AF1" s="4" t="s">
        <v>135</v>
      </c>
      <c r="AG1" s="4" t="s">
        <v>136</v>
      </c>
      <c r="AH1" s="4" t="s">
        <v>137</v>
      </c>
      <c r="AI1" s="4" t="s">
        <v>138</v>
      </c>
      <c r="AJ1" s="4" t="s">
        <v>139</v>
      </c>
      <c r="AK1" s="12" t="s">
        <v>140</v>
      </c>
    </row>
    <row r="2" spans="1:37" x14ac:dyDescent="0.2">
      <c r="A2" s="10" t="s">
        <v>98</v>
      </c>
      <c r="B2" s="10" t="s">
        <v>107</v>
      </c>
      <c r="C2" s="10" t="s">
        <v>108</v>
      </c>
      <c r="D2" s="9">
        <v>42927</v>
      </c>
      <c r="E2" s="6">
        <v>17.164020000000001</v>
      </c>
      <c r="F2" s="6">
        <v>-61.732840000000003</v>
      </c>
      <c r="G2" s="10" t="s">
        <v>109</v>
      </c>
      <c r="H2" s="10" t="s">
        <v>99</v>
      </c>
      <c r="I2" s="10" t="s">
        <v>110</v>
      </c>
      <c r="J2" s="10" t="s">
        <v>111</v>
      </c>
      <c r="K2" s="8">
        <v>2.8</v>
      </c>
      <c r="L2" s="7">
        <v>2</v>
      </c>
      <c r="M2" s="13">
        <v>31</v>
      </c>
      <c r="N2" s="7">
        <v>1</v>
      </c>
      <c r="O2" s="7">
        <v>1</v>
      </c>
      <c r="P2" s="7">
        <v>0</v>
      </c>
      <c r="Q2" s="7">
        <v>2</v>
      </c>
      <c r="R2" s="7">
        <v>0</v>
      </c>
      <c r="S2" s="7">
        <v>1</v>
      </c>
      <c r="T2" s="7">
        <v>1</v>
      </c>
      <c r="U2" s="7">
        <v>13</v>
      </c>
      <c r="V2" s="7">
        <v>12</v>
      </c>
      <c r="W2" s="7">
        <v>0</v>
      </c>
      <c r="X2" s="7">
        <v>0</v>
      </c>
      <c r="Y2" s="13">
        <v>0</v>
      </c>
      <c r="Z2" s="7">
        <f>IF(N2=0,"",N2/$M2*100)</f>
        <v>3.225806451612903</v>
      </c>
      <c r="AA2" s="7">
        <f>IF(O2=0,"",O2/$M2*100)</f>
        <v>3.225806451612903</v>
      </c>
      <c r="AB2" s="7" t="str">
        <f>IF(P2=0,"",P2/$M2*100)</f>
        <v/>
      </c>
      <c r="AC2" s="7">
        <f>IF(Q2=0,"",Q2/$M2*100)</f>
        <v>6.4516129032258061</v>
      </c>
      <c r="AD2" s="7" t="str">
        <f>IF(R2=0,"",R2/$M2*100)</f>
        <v/>
      </c>
      <c r="AE2" s="7">
        <f>IF(S2=0,"",S2/$M2*100)</f>
        <v>3.225806451612903</v>
      </c>
      <c r="AF2" s="7">
        <f>IF(T2=0,"",T2/$M2*100)</f>
        <v>3.225806451612903</v>
      </c>
      <c r="AG2" s="7">
        <f>IF(U2=0,"",U2/$M2*100)</f>
        <v>41.935483870967744</v>
      </c>
      <c r="AH2" s="7">
        <f>IF(V2=0,"",V2/$M2*100)</f>
        <v>38.70967741935484</v>
      </c>
      <c r="AI2" s="7" t="str">
        <f>IF(W2=0,"",W2/$M2*100)</f>
        <v/>
      </c>
      <c r="AJ2" s="7" t="str">
        <f>IF(X2=0,"",X2/$M2*100)</f>
        <v/>
      </c>
      <c r="AK2" s="13" t="str">
        <f>IF(Y2=0,"",Y2/$M2*100)</f>
        <v/>
      </c>
    </row>
    <row r="3" spans="1:37" x14ac:dyDescent="0.2">
      <c r="A3" s="10" t="s">
        <v>98</v>
      </c>
      <c r="B3" s="10" t="s">
        <v>112</v>
      </c>
      <c r="C3" s="10" t="s">
        <v>113</v>
      </c>
      <c r="D3" s="9">
        <v>42927</v>
      </c>
      <c r="E3" s="6">
        <v>17.181139999999999</v>
      </c>
      <c r="F3" s="6">
        <v>-61.755290000000002</v>
      </c>
      <c r="G3" s="10" t="s">
        <v>114</v>
      </c>
      <c r="H3" s="10" t="s">
        <v>99</v>
      </c>
      <c r="I3" s="10" t="s">
        <v>110</v>
      </c>
      <c r="J3" s="10" t="s">
        <v>111</v>
      </c>
      <c r="K3" s="8">
        <v>7</v>
      </c>
      <c r="L3" s="7">
        <v>2</v>
      </c>
      <c r="M3" s="13">
        <v>38</v>
      </c>
      <c r="N3" s="7">
        <v>16</v>
      </c>
      <c r="O3" s="7">
        <v>0</v>
      </c>
      <c r="P3" s="7">
        <v>1</v>
      </c>
      <c r="Q3" s="7">
        <v>1</v>
      </c>
      <c r="R3" s="7">
        <v>0</v>
      </c>
      <c r="S3" s="7">
        <v>1</v>
      </c>
      <c r="T3" s="7">
        <v>0</v>
      </c>
      <c r="U3" s="7">
        <v>0</v>
      </c>
      <c r="V3" s="7">
        <v>12</v>
      </c>
      <c r="W3" s="7">
        <v>6</v>
      </c>
      <c r="X3" s="7">
        <v>1</v>
      </c>
      <c r="Y3" s="13">
        <v>0</v>
      </c>
      <c r="Z3" s="7">
        <f t="shared" ref="Z3:Z9" si="0">IF(N3=0,"",N3/$M3*100)</f>
        <v>42.105263157894733</v>
      </c>
      <c r="AA3" s="7" t="str">
        <f t="shared" ref="AA3:AA9" si="1">IF(O3=0,"",O3/$M3*100)</f>
        <v/>
      </c>
      <c r="AB3" s="7">
        <f t="shared" ref="AB3:AB9" si="2">IF(P3=0,"",P3/$M3*100)</f>
        <v>2.6315789473684208</v>
      </c>
      <c r="AC3" s="7">
        <f t="shared" ref="AC3:AC9" si="3">IF(Q3=0,"",Q3/$M3*100)</f>
        <v>2.6315789473684208</v>
      </c>
      <c r="AD3" s="7" t="str">
        <f t="shared" ref="AD3:AD9" si="4">IF(R3=0,"",R3/$M3*100)</f>
        <v/>
      </c>
      <c r="AE3" s="7">
        <f t="shared" ref="AE3:AE9" si="5">IF(S3=0,"",S3/$M3*100)</f>
        <v>2.6315789473684208</v>
      </c>
      <c r="AF3" s="7" t="str">
        <f t="shared" ref="AF3:AF9" si="6">IF(T3=0,"",T3/$M3*100)</f>
        <v/>
      </c>
      <c r="AG3" s="7" t="str">
        <f t="shared" ref="AG3:AG9" si="7">IF(U3=0,"",U3/$M3*100)</f>
        <v/>
      </c>
      <c r="AH3" s="7">
        <f t="shared" ref="AH3:AH9" si="8">IF(V3=0,"",V3/$M3*100)</f>
        <v>31.578947368421051</v>
      </c>
      <c r="AI3" s="7">
        <f t="shared" ref="AI3:AI9" si="9">IF(W3=0,"",W3/$M3*100)</f>
        <v>15.789473684210526</v>
      </c>
      <c r="AJ3" s="7">
        <f t="shared" ref="AJ3:AJ9" si="10">IF(X3=0,"",X3/$M3*100)</f>
        <v>2.6315789473684208</v>
      </c>
      <c r="AK3" s="13" t="str">
        <f t="shared" ref="AK3:AK9" si="11">IF(Y3=0,"",Y3/$M3*100)</f>
        <v/>
      </c>
    </row>
    <row r="4" spans="1:37" x14ac:dyDescent="0.2">
      <c r="A4" s="10" t="s">
        <v>98</v>
      </c>
      <c r="B4" s="10" t="s">
        <v>115</v>
      </c>
      <c r="C4" s="10" t="s">
        <v>116</v>
      </c>
      <c r="D4" s="9">
        <v>42929</v>
      </c>
      <c r="E4" s="6">
        <v>17.14676</v>
      </c>
      <c r="F4" s="6">
        <v>-61.72824</v>
      </c>
      <c r="G4" s="10" t="s">
        <v>117</v>
      </c>
      <c r="H4" s="10" t="s">
        <v>99</v>
      </c>
      <c r="I4" s="10" t="s">
        <v>110</v>
      </c>
      <c r="J4" s="10" t="s">
        <v>111</v>
      </c>
      <c r="K4" s="8">
        <v>2.8</v>
      </c>
      <c r="L4" s="7">
        <v>2</v>
      </c>
      <c r="M4" s="13">
        <v>46</v>
      </c>
      <c r="N4" s="7">
        <v>1</v>
      </c>
      <c r="O4" s="7">
        <v>3</v>
      </c>
      <c r="P4" s="7">
        <v>0</v>
      </c>
      <c r="Q4" s="7">
        <v>6</v>
      </c>
      <c r="R4" s="7">
        <v>0</v>
      </c>
      <c r="S4" s="7">
        <v>1</v>
      </c>
      <c r="T4" s="7">
        <v>0</v>
      </c>
      <c r="U4" s="7">
        <v>18</v>
      </c>
      <c r="V4" s="7">
        <v>13</v>
      </c>
      <c r="W4" s="7">
        <v>1</v>
      </c>
      <c r="X4" s="7">
        <v>3</v>
      </c>
      <c r="Y4" s="13">
        <v>0</v>
      </c>
      <c r="Z4" s="7">
        <f t="shared" si="0"/>
        <v>2.1739130434782608</v>
      </c>
      <c r="AA4" s="7">
        <f t="shared" si="1"/>
        <v>6.5217391304347823</v>
      </c>
      <c r="AB4" s="7" t="str">
        <f t="shared" si="2"/>
        <v/>
      </c>
      <c r="AC4" s="7">
        <f t="shared" si="3"/>
        <v>13.043478260869565</v>
      </c>
      <c r="AD4" s="7" t="str">
        <f t="shared" si="4"/>
        <v/>
      </c>
      <c r="AE4" s="7">
        <f t="shared" si="5"/>
        <v>2.1739130434782608</v>
      </c>
      <c r="AF4" s="7" t="str">
        <f t="shared" si="6"/>
        <v/>
      </c>
      <c r="AG4" s="7">
        <f t="shared" si="7"/>
        <v>39.130434782608695</v>
      </c>
      <c r="AH4" s="7">
        <f t="shared" si="8"/>
        <v>28.260869565217391</v>
      </c>
      <c r="AI4" s="7">
        <f t="shared" si="9"/>
        <v>2.1739130434782608</v>
      </c>
      <c r="AJ4" s="7">
        <f t="shared" si="10"/>
        <v>6.5217391304347823</v>
      </c>
      <c r="AK4" s="13" t="str">
        <f t="shared" si="11"/>
        <v/>
      </c>
    </row>
    <row r="5" spans="1:37" x14ac:dyDescent="0.2">
      <c r="A5" s="10" t="s">
        <v>98</v>
      </c>
      <c r="B5" s="10" t="s">
        <v>118</v>
      </c>
      <c r="C5" s="10" t="s">
        <v>119</v>
      </c>
      <c r="D5" s="9">
        <v>42927</v>
      </c>
      <c r="E5" s="6">
        <v>17.189579999999999</v>
      </c>
      <c r="F5" s="6">
        <v>-61.789119999999997</v>
      </c>
      <c r="G5" s="10" t="s">
        <v>114</v>
      </c>
      <c r="H5" s="10" t="s">
        <v>99</v>
      </c>
      <c r="I5" s="10" t="s">
        <v>110</v>
      </c>
      <c r="J5" s="10" t="s">
        <v>111</v>
      </c>
      <c r="K5" s="8">
        <v>10.7</v>
      </c>
      <c r="L5" s="7">
        <v>2</v>
      </c>
      <c r="M5" s="13">
        <v>69</v>
      </c>
      <c r="N5" s="7">
        <v>0</v>
      </c>
      <c r="O5" s="7">
        <v>1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25</v>
      </c>
      <c r="V5" s="7">
        <v>32</v>
      </c>
      <c r="W5" s="7">
        <v>3</v>
      </c>
      <c r="X5" s="7">
        <v>6</v>
      </c>
      <c r="Y5" s="13">
        <v>1</v>
      </c>
      <c r="Z5" s="7" t="str">
        <f t="shared" si="0"/>
        <v/>
      </c>
      <c r="AA5" s="7">
        <f t="shared" si="1"/>
        <v>1.4492753623188406</v>
      </c>
      <c r="AB5" s="7">
        <f t="shared" si="2"/>
        <v>1.4492753623188406</v>
      </c>
      <c r="AC5" s="7" t="str">
        <f t="shared" si="3"/>
        <v/>
      </c>
      <c r="AD5" s="7" t="str">
        <f t="shared" si="4"/>
        <v/>
      </c>
      <c r="AE5" s="7" t="str">
        <f t="shared" si="5"/>
        <v/>
      </c>
      <c r="AF5" s="7" t="str">
        <f t="shared" si="6"/>
        <v/>
      </c>
      <c r="AG5" s="7">
        <f t="shared" si="7"/>
        <v>36.231884057971016</v>
      </c>
      <c r="AH5" s="7">
        <f t="shared" si="8"/>
        <v>46.376811594202898</v>
      </c>
      <c r="AI5" s="7">
        <f t="shared" si="9"/>
        <v>4.3478260869565215</v>
      </c>
      <c r="AJ5" s="7">
        <f t="shared" si="10"/>
        <v>8.695652173913043</v>
      </c>
      <c r="AK5" s="13">
        <f t="shared" si="11"/>
        <v>1.4492753623188406</v>
      </c>
    </row>
    <row r="6" spans="1:37" x14ac:dyDescent="0.2">
      <c r="A6" s="10" t="s">
        <v>98</v>
      </c>
      <c r="B6" s="10" t="s">
        <v>120</v>
      </c>
      <c r="C6" s="10" t="s">
        <v>121</v>
      </c>
      <c r="D6" s="9">
        <v>42928</v>
      </c>
      <c r="E6" s="6">
        <v>17.06484</v>
      </c>
      <c r="F6" s="6">
        <v>-61.667099999999998</v>
      </c>
      <c r="G6" s="10" t="s">
        <v>114</v>
      </c>
      <c r="H6" s="10" t="s">
        <v>99</v>
      </c>
      <c r="I6" s="10" t="s">
        <v>110</v>
      </c>
      <c r="J6" s="10" t="s">
        <v>111</v>
      </c>
      <c r="K6" s="8">
        <v>8.3000000000000007</v>
      </c>
      <c r="L6" s="7">
        <v>2</v>
      </c>
      <c r="M6" s="13">
        <v>89</v>
      </c>
      <c r="N6" s="7">
        <v>0</v>
      </c>
      <c r="O6" s="7">
        <v>15</v>
      </c>
      <c r="P6" s="7">
        <v>3</v>
      </c>
      <c r="Q6" s="7">
        <v>0</v>
      </c>
      <c r="R6" s="7">
        <v>0</v>
      </c>
      <c r="S6" s="7">
        <v>4</v>
      </c>
      <c r="T6" s="7">
        <v>0</v>
      </c>
      <c r="U6" s="7">
        <v>17</v>
      </c>
      <c r="V6" s="7">
        <v>47</v>
      </c>
      <c r="W6" s="7">
        <v>2</v>
      </c>
      <c r="X6" s="7">
        <v>1</v>
      </c>
      <c r="Y6" s="13">
        <v>0</v>
      </c>
      <c r="Z6" s="7" t="str">
        <f t="shared" si="0"/>
        <v/>
      </c>
      <c r="AA6" s="7">
        <f t="shared" si="1"/>
        <v>16.853932584269664</v>
      </c>
      <c r="AB6" s="7">
        <f t="shared" si="2"/>
        <v>3.3707865168539324</v>
      </c>
      <c r="AC6" s="7" t="str">
        <f t="shared" si="3"/>
        <v/>
      </c>
      <c r="AD6" s="7" t="str">
        <f t="shared" si="4"/>
        <v/>
      </c>
      <c r="AE6" s="7">
        <f t="shared" si="5"/>
        <v>4.4943820224719104</v>
      </c>
      <c r="AF6" s="7" t="str">
        <f t="shared" si="6"/>
        <v/>
      </c>
      <c r="AG6" s="7">
        <f t="shared" si="7"/>
        <v>19.101123595505616</v>
      </c>
      <c r="AH6" s="7">
        <f t="shared" si="8"/>
        <v>52.80898876404494</v>
      </c>
      <c r="AI6" s="7">
        <f t="shared" si="9"/>
        <v>2.2471910112359552</v>
      </c>
      <c r="AJ6" s="7">
        <f t="shared" si="10"/>
        <v>1.1235955056179776</v>
      </c>
      <c r="AK6" s="13" t="str">
        <f t="shared" si="11"/>
        <v/>
      </c>
    </row>
    <row r="7" spans="1:37" x14ac:dyDescent="0.2">
      <c r="A7" s="10" t="s">
        <v>98</v>
      </c>
      <c r="B7" s="10" t="s">
        <v>122</v>
      </c>
      <c r="C7" s="10" t="s">
        <v>123</v>
      </c>
      <c r="D7" s="9">
        <v>42928</v>
      </c>
      <c r="E7" s="6">
        <v>17.142430000000001</v>
      </c>
      <c r="F7" s="6">
        <v>-61.724319999999999</v>
      </c>
      <c r="G7" s="10" t="s">
        <v>117</v>
      </c>
      <c r="H7" s="10" t="s">
        <v>99</v>
      </c>
      <c r="I7" s="10" t="s">
        <v>110</v>
      </c>
      <c r="J7" s="10" t="s">
        <v>111</v>
      </c>
      <c r="K7" s="8">
        <v>1.4</v>
      </c>
      <c r="L7" s="7">
        <v>2</v>
      </c>
      <c r="M7" s="13">
        <v>39</v>
      </c>
      <c r="N7" s="7">
        <v>10</v>
      </c>
      <c r="O7" s="7">
        <v>1</v>
      </c>
      <c r="P7" s="7">
        <v>0</v>
      </c>
      <c r="Q7" s="7">
        <v>2</v>
      </c>
      <c r="R7" s="7">
        <v>0</v>
      </c>
      <c r="S7" s="7">
        <v>1</v>
      </c>
      <c r="T7" s="7">
        <v>0</v>
      </c>
      <c r="U7" s="7">
        <v>4</v>
      </c>
      <c r="V7" s="7">
        <v>17</v>
      </c>
      <c r="W7" s="7">
        <v>4</v>
      </c>
      <c r="X7" s="7">
        <v>0</v>
      </c>
      <c r="Y7" s="13">
        <v>0</v>
      </c>
      <c r="Z7" s="7">
        <f t="shared" si="0"/>
        <v>25.641025641025639</v>
      </c>
      <c r="AA7" s="7">
        <f t="shared" si="1"/>
        <v>2.5641025641025639</v>
      </c>
      <c r="AB7" s="7" t="str">
        <f t="shared" si="2"/>
        <v/>
      </c>
      <c r="AC7" s="7">
        <f t="shared" si="3"/>
        <v>5.1282051282051277</v>
      </c>
      <c r="AD7" s="7" t="str">
        <f t="shared" si="4"/>
        <v/>
      </c>
      <c r="AE7" s="7">
        <f t="shared" si="5"/>
        <v>2.5641025641025639</v>
      </c>
      <c r="AF7" s="7" t="str">
        <f t="shared" si="6"/>
        <v/>
      </c>
      <c r="AG7" s="7">
        <f t="shared" si="7"/>
        <v>10.256410256410255</v>
      </c>
      <c r="AH7" s="7">
        <f t="shared" si="8"/>
        <v>43.589743589743591</v>
      </c>
      <c r="AI7" s="7">
        <f t="shared" si="9"/>
        <v>10.256410256410255</v>
      </c>
      <c r="AJ7" s="7" t="str">
        <f t="shared" si="10"/>
        <v/>
      </c>
      <c r="AK7" s="13" t="str">
        <f t="shared" si="11"/>
        <v/>
      </c>
    </row>
    <row r="8" spans="1:37" x14ac:dyDescent="0.2">
      <c r="A8" s="10" t="s">
        <v>98</v>
      </c>
      <c r="B8" s="10" t="s">
        <v>124</v>
      </c>
      <c r="C8" s="10" t="s">
        <v>125</v>
      </c>
      <c r="D8" s="9">
        <v>42929</v>
      </c>
      <c r="E8" s="6">
        <v>17.120339999999999</v>
      </c>
      <c r="F8" s="6">
        <v>-61.709200000000003</v>
      </c>
      <c r="G8" s="10" t="s">
        <v>114</v>
      </c>
      <c r="H8" s="10" t="s">
        <v>99</v>
      </c>
      <c r="I8" s="10" t="s">
        <v>110</v>
      </c>
      <c r="J8" s="10" t="s">
        <v>111</v>
      </c>
      <c r="K8" s="8">
        <v>7.5</v>
      </c>
      <c r="L8" s="7">
        <v>2</v>
      </c>
      <c r="M8" s="13">
        <v>33</v>
      </c>
      <c r="N8" s="7">
        <v>0</v>
      </c>
      <c r="O8" s="7">
        <v>8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8</v>
      </c>
      <c r="V8" s="7">
        <v>16</v>
      </c>
      <c r="W8" s="7">
        <v>0</v>
      </c>
      <c r="X8" s="7">
        <v>1</v>
      </c>
      <c r="Y8" s="13">
        <v>0</v>
      </c>
      <c r="Z8" s="7" t="str">
        <f t="shared" si="0"/>
        <v/>
      </c>
      <c r="AA8" s="7">
        <f t="shared" si="1"/>
        <v>24.242424242424242</v>
      </c>
      <c r="AB8" s="7" t="str">
        <f t="shared" si="2"/>
        <v/>
      </c>
      <c r="AC8" s="7" t="str">
        <f t="shared" si="3"/>
        <v/>
      </c>
      <c r="AD8" s="7" t="str">
        <f t="shared" si="4"/>
        <v/>
      </c>
      <c r="AE8" s="7" t="str">
        <f t="shared" si="5"/>
        <v/>
      </c>
      <c r="AF8" s="7" t="str">
        <f t="shared" si="6"/>
        <v/>
      </c>
      <c r="AG8" s="7">
        <f t="shared" si="7"/>
        <v>24.242424242424242</v>
      </c>
      <c r="AH8" s="7">
        <f t="shared" si="8"/>
        <v>48.484848484848484</v>
      </c>
      <c r="AI8" s="7" t="str">
        <f t="shared" si="9"/>
        <v/>
      </c>
      <c r="AJ8" s="7">
        <f t="shared" si="10"/>
        <v>3.0303030303030303</v>
      </c>
      <c r="AK8" s="13" t="str">
        <f t="shared" si="11"/>
        <v/>
      </c>
    </row>
    <row r="9" spans="1:37" x14ac:dyDescent="0.2">
      <c r="A9" s="10" t="s">
        <v>98</v>
      </c>
      <c r="B9" s="10" t="s">
        <v>126</v>
      </c>
      <c r="C9" s="10" t="s">
        <v>127</v>
      </c>
      <c r="D9" s="9">
        <v>42929</v>
      </c>
      <c r="E9" s="6">
        <v>17.13908</v>
      </c>
      <c r="F9" s="6">
        <v>-61.720869999999998</v>
      </c>
      <c r="G9" s="10" t="s">
        <v>128</v>
      </c>
      <c r="H9" s="10" t="s">
        <v>99</v>
      </c>
      <c r="I9" s="10" t="s">
        <v>110</v>
      </c>
      <c r="J9" s="10" t="s">
        <v>111</v>
      </c>
      <c r="K9" s="8">
        <v>4.0999999999999996</v>
      </c>
      <c r="L9" s="7">
        <v>2</v>
      </c>
      <c r="M9" s="13">
        <v>65</v>
      </c>
      <c r="N9" s="7">
        <v>8</v>
      </c>
      <c r="O9" s="7">
        <v>12</v>
      </c>
      <c r="P9" s="7">
        <v>0</v>
      </c>
      <c r="Q9" s="7">
        <v>2</v>
      </c>
      <c r="R9" s="7">
        <v>0</v>
      </c>
      <c r="S9" s="7">
        <v>0</v>
      </c>
      <c r="T9" s="7">
        <v>0</v>
      </c>
      <c r="U9" s="7">
        <v>3</v>
      </c>
      <c r="V9" s="7">
        <v>31</v>
      </c>
      <c r="W9" s="7">
        <v>7</v>
      </c>
      <c r="X9" s="7">
        <v>0</v>
      </c>
      <c r="Y9" s="13">
        <v>0</v>
      </c>
      <c r="Z9" s="7">
        <f t="shared" si="0"/>
        <v>12.307692307692308</v>
      </c>
      <c r="AA9" s="7">
        <f t="shared" si="1"/>
        <v>18.461538461538463</v>
      </c>
      <c r="AB9" s="7" t="str">
        <f t="shared" si="2"/>
        <v/>
      </c>
      <c r="AC9" s="7">
        <f t="shared" si="3"/>
        <v>3.0769230769230771</v>
      </c>
      <c r="AD9" s="7" t="str">
        <f t="shared" si="4"/>
        <v/>
      </c>
      <c r="AE9" s="7" t="str">
        <f t="shared" si="5"/>
        <v/>
      </c>
      <c r="AF9" s="7" t="str">
        <f t="shared" si="6"/>
        <v/>
      </c>
      <c r="AG9" s="7">
        <f t="shared" si="7"/>
        <v>4.6153846153846159</v>
      </c>
      <c r="AH9" s="7">
        <f t="shared" si="8"/>
        <v>47.692307692307693</v>
      </c>
      <c r="AI9" s="7">
        <f t="shared" si="9"/>
        <v>10.76923076923077</v>
      </c>
      <c r="AJ9" s="7" t="str">
        <f t="shared" si="10"/>
        <v/>
      </c>
      <c r="AK9" s="13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A4AD-B3CD-48F4-819E-2BC08CB52936}">
  <dimension ref="A1:BC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10" customWidth="1"/>
    <col min="11" max="11" width="6.7109375" style="8" customWidth="1"/>
    <col min="12" max="13" width="4.7109375" style="7" customWidth="1"/>
    <col min="14" max="34" width="6.7109375" style="7" customWidth="1"/>
    <col min="35" max="55" width="8.7109375" style="7" customWidth="1"/>
  </cols>
  <sheetData>
    <row r="1" spans="1:55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12" t="s">
        <v>27</v>
      </c>
      <c r="N1" s="11" t="s">
        <v>41</v>
      </c>
      <c r="O1" s="4" t="s">
        <v>42</v>
      </c>
      <c r="P1" s="4" t="s">
        <v>43</v>
      </c>
      <c r="Q1" s="4" t="s">
        <v>44</v>
      </c>
      <c r="R1" s="4" t="s">
        <v>30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  <c r="AA1" s="4" t="s">
        <v>53</v>
      </c>
      <c r="AB1" s="4" t="s">
        <v>54</v>
      </c>
      <c r="AC1" s="4" t="s">
        <v>55</v>
      </c>
      <c r="AD1" s="4" t="s">
        <v>56</v>
      </c>
      <c r="AE1" s="4" t="s">
        <v>57</v>
      </c>
      <c r="AF1" s="4" t="s">
        <v>58</v>
      </c>
      <c r="AG1" s="4" t="s">
        <v>59</v>
      </c>
      <c r="AH1" s="12" t="s">
        <v>60</v>
      </c>
      <c r="AI1" s="11" t="s">
        <v>141</v>
      </c>
      <c r="AJ1" s="4" t="s">
        <v>142</v>
      </c>
      <c r="AK1" s="4" t="s">
        <v>143</v>
      </c>
      <c r="AL1" s="4" t="s">
        <v>144</v>
      </c>
      <c r="AM1" s="4" t="s">
        <v>130</v>
      </c>
      <c r="AN1" s="4" t="s">
        <v>145</v>
      </c>
      <c r="AO1" s="4" t="s">
        <v>146</v>
      </c>
      <c r="AP1" s="4" t="s">
        <v>147</v>
      </c>
      <c r="AQ1" s="4" t="s">
        <v>148</v>
      </c>
      <c r="AR1" s="4" t="s">
        <v>149</v>
      </c>
      <c r="AS1" s="4" t="s">
        <v>150</v>
      </c>
      <c r="AT1" s="4" t="s">
        <v>151</v>
      </c>
      <c r="AU1" s="4" t="s">
        <v>152</v>
      </c>
      <c r="AV1" s="4" t="s">
        <v>153</v>
      </c>
      <c r="AW1" s="4" t="s">
        <v>154</v>
      </c>
      <c r="AX1" s="4" t="s">
        <v>155</v>
      </c>
      <c r="AY1" s="4" t="s">
        <v>156</v>
      </c>
      <c r="AZ1" s="4" t="s">
        <v>157</v>
      </c>
      <c r="BA1" s="4" t="s">
        <v>158</v>
      </c>
      <c r="BB1" s="4" t="s">
        <v>159</v>
      </c>
      <c r="BC1" s="4" t="s">
        <v>160</v>
      </c>
    </row>
    <row r="2" spans="1:55" x14ac:dyDescent="0.2">
      <c r="A2" s="10" t="s">
        <v>98</v>
      </c>
      <c r="B2" s="10" t="s">
        <v>107</v>
      </c>
      <c r="C2" s="10" t="s">
        <v>108</v>
      </c>
      <c r="D2" s="9">
        <v>42927</v>
      </c>
      <c r="E2" s="6">
        <v>17.164020000000001</v>
      </c>
      <c r="F2" s="6">
        <v>-61.732840000000003</v>
      </c>
      <c r="G2" s="10" t="s">
        <v>109</v>
      </c>
      <c r="H2" s="10" t="s">
        <v>99</v>
      </c>
      <c r="I2" s="10" t="s">
        <v>110</v>
      </c>
      <c r="J2" s="10" t="s">
        <v>111</v>
      </c>
      <c r="K2" s="8">
        <v>2.8</v>
      </c>
      <c r="L2" s="7">
        <v>2</v>
      </c>
      <c r="M2" s="13">
        <v>31</v>
      </c>
      <c r="N2" s="7">
        <v>1</v>
      </c>
      <c r="O2" s="7">
        <v>0</v>
      </c>
      <c r="P2" s="7">
        <v>1</v>
      </c>
      <c r="Q2" s="7">
        <v>0</v>
      </c>
      <c r="R2" s="7">
        <v>0</v>
      </c>
      <c r="S2" s="7">
        <v>0</v>
      </c>
      <c r="T2" s="7">
        <v>2</v>
      </c>
      <c r="U2" s="7">
        <v>0</v>
      </c>
      <c r="V2" s="7">
        <v>0</v>
      </c>
      <c r="W2" s="7">
        <v>0</v>
      </c>
      <c r="X2" s="7">
        <v>1</v>
      </c>
      <c r="Y2" s="7">
        <v>3</v>
      </c>
      <c r="Z2" s="7">
        <v>1</v>
      </c>
      <c r="AA2" s="7">
        <v>9</v>
      </c>
      <c r="AB2" s="7">
        <v>8</v>
      </c>
      <c r="AC2" s="7">
        <v>0</v>
      </c>
      <c r="AD2" s="7">
        <v>3</v>
      </c>
      <c r="AE2" s="7">
        <v>0</v>
      </c>
      <c r="AF2" s="7">
        <v>0</v>
      </c>
      <c r="AG2" s="7">
        <v>0</v>
      </c>
      <c r="AH2" s="13">
        <v>0</v>
      </c>
      <c r="AI2" s="7">
        <f>IF(N2=0,"",N2/$M2*100)</f>
        <v>3.225806451612903</v>
      </c>
      <c r="AJ2" s="7" t="str">
        <f>IF(O2=0,"",O2/$M2*100)</f>
        <v/>
      </c>
      <c r="AK2" s="7">
        <f>IF(P2=0,"",P2/$M2*100)</f>
        <v>3.225806451612903</v>
      </c>
      <c r="AL2" s="7" t="str">
        <f>IF(Q2=0,"",Q2/$M2*100)</f>
        <v/>
      </c>
      <c r="AM2" s="7" t="str">
        <f>IF(R2=0,"",R2/$M2*100)</f>
        <v/>
      </c>
      <c r="AN2" s="7" t="str">
        <f>IF(S2=0,"",S2/$M2*100)</f>
        <v/>
      </c>
      <c r="AO2" s="7">
        <f>IF(T2=0,"",T2/$M2*100)</f>
        <v>6.4516129032258061</v>
      </c>
      <c r="AP2" s="7" t="str">
        <f>IF(U2=0,"",U2/$M2*100)</f>
        <v/>
      </c>
      <c r="AQ2" s="7" t="str">
        <f>IF(V2=0,"",V2/$M2*100)</f>
        <v/>
      </c>
      <c r="AR2" s="7" t="str">
        <f>IF(W2=0,"",W2/$M2*100)</f>
        <v/>
      </c>
      <c r="AS2" s="7">
        <f>IF(X2=0,"",X2/$M2*100)</f>
        <v>3.225806451612903</v>
      </c>
      <c r="AT2" s="7">
        <f>IF(Y2=0,"",Y2/$M2*100)</f>
        <v>9.67741935483871</v>
      </c>
      <c r="AU2" s="7">
        <f>IF(Z2=0,"",Z2/$M2*100)</f>
        <v>3.225806451612903</v>
      </c>
      <c r="AV2" s="7">
        <f>IF(AA2=0,"",AA2/$M2*100)</f>
        <v>29.032258064516132</v>
      </c>
      <c r="AW2" s="7">
        <f>IF(AB2=0,"",AB2/$M2*100)</f>
        <v>25.806451612903224</v>
      </c>
      <c r="AX2" s="7" t="str">
        <f>IF(AC2=0,"",AC2/$M2*100)</f>
        <v/>
      </c>
      <c r="AY2" s="7">
        <f>IF(AD2=0,"",AD2/$M2*100)</f>
        <v>9.67741935483871</v>
      </c>
      <c r="AZ2" s="7" t="str">
        <f>IF(AE2=0,"",AE2/$M2*100)</f>
        <v/>
      </c>
      <c r="BA2" s="7" t="str">
        <f>IF(AF2=0,"",AF2/$M2*100)</f>
        <v/>
      </c>
      <c r="BB2" s="7" t="str">
        <f>IF(AG2=0,"",AG2/$M2*100)</f>
        <v/>
      </c>
      <c r="BC2" s="7" t="str">
        <f>IF(AH2=0,"",AH2/$M2*100)</f>
        <v/>
      </c>
    </row>
    <row r="3" spans="1:55" x14ac:dyDescent="0.2">
      <c r="A3" s="10" t="s">
        <v>98</v>
      </c>
      <c r="B3" s="10" t="s">
        <v>112</v>
      </c>
      <c r="C3" s="10" t="s">
        <v>113</v>
      </c>
      <c r="D3" s="9">
        <v>42927</v>
      </c>
      <c r="E3" s="6">
        <v>17.181139999999999</v>
      </c>
      <c r="F3" s="6">
        <v>-61.755290000000002</v>
      </c>
      <c r="G3" s="10" t="s">
        <v>114</v>
      </c>
      <c r="H3" s="10" t="s">
        <v>99</v>
      </c>
      <c r="I3" s="10" t="s">
        <v>110</v>
      </c>
      <c r="J3" s="10" t="s">
        <v>111</v>
      </c>
      <c r="K3" s="8">
        <v>7</v>
      </c>
      <c r="L3" s="7">
        <v>2</v>
      </c>
      <c r="M3" s="13">
        <v>38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</v>
      </c>
      <c r="T3" s="7">
        <v>1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12</v>
      </c>
      <c r="AC3" s="7">
        <v>0</v>
      </c>
      <c r="AD3" s="7">
        <v>0</v>
      </c>
      <c r="AE3" s="7">
        <v>0</v>
      </c>
      <c r="AF3" s="7">
        <v>6</v>
      </c>
      <c r="AG3" s="7">
        <v>1</v>
      </c>
      <c r="AH3" s="13">
        <v>0</v>
      </c>
      <c r="AI3" s="7" t="str">
        <f t="shared" ref="AI3:AI9" si="0">IF(N3=0,"",N3/$M3*100)</f>
        <v/>
      </c>
      <c r="AJ3" s="7" t="str">
        <f t="shared" ref="AJ3:AJ9" si="1">IF(O3=0,"",O3/$M3*100)</f>
        <v/>
      </c>
      <c r="AK3" s="7" t="str">
        <f t="shared" ref="AK3:AK9" si="2">IF(P3=0,"",P3/$M3*100)</f>
        <v/>
      </c>
      <c r="AL3" s="7" t="str">
        <f t="shared" ref="AL3:AL9" si="3">IF(Q3=0,"",Q3/$M3*100)</f>
        <v/>
      </c>
      <c r="AM3" s="7" t="str">
        <f t="shared" ref="AM3:AM9" si="4">IF(R3=0,"",R3/$M3*100)</f>
        <v/>
      </c>
      <c r="AN3" s="7">
        <f t="shared" ref="AN3:AN9" si="5">IF(S3=0,"",S3/$M3*100)</f>
        <v>2.6315789473684208</v>
      </c>
      <c r="AO3" s="7">
        <f t="shared" ref="AO3:AO9" si="6">IF(T3=0,"",T3/$M3*100)</f>
        <v>2.6315789473684208</v>
      </c>
      <c r="AP3" s="7" t="str">
        <f t="shared" ref="AP3:AP9" si="7">IF(U3=0,"",U3/$M3*100)</f>
        <v/>
      </c>
      <c r="AQ3" s="7" t="str">
        <f t="shared" ref="AQ3:AQ9" si="8">IF(V3=0,"",V3/$M3*100)</f>
        <v/>
      </c>
      <c r="AR3" s="7" t="str">
        <f t="shared" ref="AR3:AR9" si="9">IF(W3=0,"",W3/$M3*100)</f>
        <v/>
      </c>
      <c r="AS3" s="7" t="str">
        <f t="shared" ref="AS3:AS9" si="10">IF(X3=0,"",X3/$M3*100)</f>
        <v/>
      </c>
      <c r="AT3" s="7" t="str">
        <f t="shared" ref="AT3:AT9" si="11">IF(Y3=0,"",Y3/$M3*100)</f>
        <v/>
      </c>
      <c r="AU3" s="7" t="str">
        <f t="shared" ref="AU3:AU9" si="12">IF(Z3=0,"",Z3/$M3*100)</f>
        <v/>
      </c>
      <c r="AV3" s="7" t="str">
        <f t="shared" ref="AV3:AV9" si="13">IF(AA3=0,"",AA3/$M3*100)</f>
        <v/>
      </c>
      <c r="AW3" s="7">
        <f t="shared" ref="AW3:AW9" si="14">IF(AB3=0,"",AB3/$M3*100)</f>
        <v>31.578947368421051</v>
      </c>
      <c r="AX3" s="7" t="str">
        <f t="shared" ref="AX3:AX9" si="15">IF(AC3=0,"",AC3/$M3*100)</f>
        <v/>
      </c>
      <c r="AY3" s="7" t="str">
        <f t="shared" ref="AY3:AY9" si="16">IF(AD3=0,"",AD3/$M3*100)</f>
        <v/>
      </c>
      <c r="AZ3" s="7" t="str">
        <f t="shared" ref="AZ3:AZ9" si="17">IF(AE3=0,"",AE3/$M3*100)</f>
        <v/>
      </c>
      <c r="BA3" s="7">
        <f t="shared" ref="BA3:BA9" si="18">IF(AF3=0,"",AF3/$M3*100)</f>
        <v>15.789473684210526</v>
      </c>
      <c r="BB3" s="7">
        <f t="shared" ref="BB3:BB9" si="19">IF(AG3=0,"",AG3/$M3*100)</f>
        <v>2.6315789473684208</v>
      </c>
      <c r="BC3" s="7" t="str">
        <f t="shared" ref="BC3:BC9" si="20">IF(AH3=0,"",AH3/$M3*100)</f>
        <v/>
      </c>
    </row>
    <row r="4" spans="1:55" x14ac:dyDescent="0.2">
      <c r="A4" s="10" t="s">
        <v>98</v>
      </c>
      <c r="B4" s="10" t="s">
        <v>115</v>
      </c>
      <c r="C4" s="10" t="s">
        <v>116</v>
      </c>
      <c r="D4" s="9">
        <v>42929</v>
      </c>
      <c r="E4" s="6">
        <v>17.14676</v>
      </c>
      <c r="F4" s="6">
        <v>-61.72824</v>
      </c>
      <c r="G4" s="10" t="s">
        <v>117</v>
      </c>
      <c r="H4" s="10" t="s">
        <v>99</v>
      </c>
      <c r="I4" s="10" t="s">
        <v>110</v>
      </c>
      <c r="J4" s="10" t="s">
        <v>111</v>
      </c>
      <c r="K4" s="8">
        <v>2.8</v>
      </c>
      <c r="L4" s="7">
        <v>2</v>
      </c>
      <c r="M4" s="13">
        <v>46</v>
      </c>
      <c r="N4" s="7">
        <v>1</v>
      </c>
      <c r="O4" s="7">
        <v>0</v>
      </c>
      <c r="P4" s="7">
        <v>3</v>
      </c>
      <c r="Q4" s="7">
        <v>0</v>
      </c>
      <c r="R4" s="7">
        <v>0</v>
      </c>
      <c r="S4" s="7">
        <v>0</v>
      </c>
      <c r="T4" s="7">
        <v>6</v>
      </c>
      <c r="U4" s="7">
        <v>0</v>
      </c>
      <c r="V4" s="7">
        <v>1</v>
      </c>
      <c r="W4" s="7">
        <v>0</v>
      </c>
      <c r="X4" s="7">
        <v>0</v>
      </c>
      <c r="Y4" s="7">
        <v>12</v>
      </c>
      <c r="Z4" s="7">
        <v>6</v>
      </c>
      <c r="AA4" s="7">
        <v>0</v>
      </c>
      <c r="AB4" s="7">
        <v>10</v>
      </c>
      <c r="AC4" s="7">
        <v>0</v>
      </c>
      <c r="AD4" s="7">
        <v>0</v>
      </c>
      <c r="AE4" s="7">
        <v>0</v>
      </c>
      <c r="AF4" s="7">
        <v>1</v>
      </c>
      <c r="AG4" s="7">
        <v>3</v>
      </c>
      <c r="AH4" s="13">
        <v>0</v>
      </c>
      <c r="AI4" s="7">
        <f t="shared" si="0"/>
        <v>2.1739130434782608</v>
      </c>
      <c r="AJ4" s="7" t="str">
        <f t="shared" si="1"/>
        <v/>
      </c>
      <c r="AK4" s="7">
        <f t="shared" si="2"/>
        <v>6.5217391304347823</v>
      </c>
      <c r="AL4" s="7" t="str">
        <f t="shared" si="3"/>
        <v/>
      </c>
      <c r="AM4" s="7" t="str">
        <f t="shared" si="4"/>
        <v/>
      </c>
      <c r="AN4" s="7" t="str">
        <f t="shared" si="5"/>
        <v/>
      </c>
      <c r="AO4" s="7">
        <f t="shared" si="6"/>
        <v>13.043478260869565</v>
      </c>
      <c r="AP4" s="7" t="str">
        <f t="shared" si="7"/>
        <v/>
      </c>
      <c r="AQ4" s="7">
        <f t="shared" si="8"/>
        <v>2.1739130434782608</v>
      </c>
      <c r="AR4" s="7" t="str">
        <f t="shared" si="9"/>
        <v/>
      </c>
      <c r="AS4" s="7" t="str">
        <f t="shared" si="10"/>
        <v/>
      </c>
      <c r="AT4" s="7">
        <f t="shared" si="11"/>
        <v>26.086956521739129</v>
      </c>
      <c r="AU4" s="7">
        <f t="shared" si="12"/>
        <v>13.043478260869565</v>
      </c>
      <c r="AV4" s="7" t="str">
        <f t="shared" si="13"/>
        <v/>
      </c>
      <c r="AW4" s="7">
        <f t="shared" si="14"/>
        <v>21.739130434782609</v>
      </c>
      <c r="AX4" s="7" t="str">
        <f t="shared" si="15"/>
        <v/>
      </c>
      <c r="AY4" s="7" t="str">
        <f t="shared" si="16"/>
        <v/>
      </c>
      <c r="AZ4" s="7" t="str">
        <f t="shared" si="17"/>
        <v/>
      </c>
      <c r="BA4" s="7">
        <f t="shared" si="18"/>
        <v>2.1739130434782608</v>
      </c>
      <c r="BB4" s="7">
        <f t="shared" si="19"/>
        <v>6.5217391304347823</v>
      </c>
      <c r="BC4" s="7" t="str">
        <f t="shared" si="20"/>
        <v/>
      </c>
    </row>
    <row r="5" spans="1:55" x14ac:dyDescent="0.2">
      <c r="A5" s="10" t="s">
        <v>98</v>
      </c>
      <c r="B5" s="10" t="s">
        <v>118</v>
      </c>
      <c r="C5" s="10" t="s">
        <v>119</v>
      </c>
      <c r="D5" s="9">
        <v>42927</v>
      </c>
      <c r="E5" s="6">
        <v>17.189579999999999</v>
      </c>
      <c r="F5" s="6">
        <v>-61.789119999999997</v>
      </c>
      <c r="G5" s="10" t="s">
        <v>114</v>
      </c>
      <c r="H5" s="10" t="s">
        <v>99</v>
      </c>
      <c r="I5" s="10" t="s">
        <v>110</v>
      </c>
      <c r="J5" s="10" t="s">
        <v>111</v>
      </c>
      <c r="K5" s="8">
        <v>10.7</v>
      </c>
      <c r="L5" s="7">
        <v>2</v>
      </c>
      <c r="M5" s="13">
        <v>69</v>
      </c>
      <c r="N5" s="7">
        <v>0</v>
      </c>
      <c r="O5" s="7">
        <v>0</v>
      </c>
      <c r="P5" s="7">
        <v>1</v>
      </c>
      <c r="Q5" s="7">
        <v>0</v>
      </c>
      <c r="R5" s="7">
        <v>0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4</v>
      </c>
      <c r="AA5" s="7">
        <v>21</v>
      </c>
      <c r="AB5" s="7">
        <v>29</v>
      </c>
      <c r="AC5" s="7">
        <v>0</v>
      </c>
      <c r="AD5" s="7">
        <v>2</v>
      </c>
      <c r="AE5" s="7">
        <v>0</v>
      </c>
      <c r="AF5" s="7">
        <v>3</v>
      </c>
      <c r="AG5" s="7">
        <v>6</v>
      </c>
      <c r="AH5" s="13">
        <v>1</v>
      </c>
      <c r="AI5" s="7" t="str">
        <f t="shared" si="0"/>
        <v/>
      </c>
      <c r="AJ5" s="7" t="str">
        <f t="shared" si="1"/>
        <v/>
      </c>
      <c r="AK5" s="7">
        <f t="shared" si="2"/>
        <v>1.4492753623188406</v>
      </c>
      <c r="AL5" s="7" t="str">
        <f t="shared" si="3"/>
        <v/>
      </c>
      <c r="AM5" s="7" t="str">
        <f t="shared" si="4"/>
        <v/>
      </c>
      <c r="AN5" s="7">
        <f t="shared" si="5"/>
        <v>1.4492753623188406</v>
      </c>
      <c r="AO5" s="7" t="str">
        <f t="shared" si="6"/>
        <v/>
      </c>
      <c r="AP5" s="7" t="str">
        <f t="shared" si="7"/>
        <v/>
      </c>
      <c r="AQ5" s="7" t="str">
        <f t="shared" si="8"/>
        <v/>
      </c>
      <c r="AR5" s="7" t="str">
        <f t="shared" si="9"/>
        <v/>
      </c>
      <c r="AS5" s="7" t="str">
        <f t="shared" si="10"/>
        <v/>
      </c>
      <c r="AT5" s="7" t="str">
        <f t="shared" si="11"/>
        <v/>
      </c>
      <c r="AU5" s="7">
        <f t="shared" si="12"/>
        <v>5.7971014492753623</v>
      </c>
      <c r="AV5" s="7">
        <f t="shared" si="13"/>
        <v>30.434782608695656</v>
      </c>
      <c r="AW5" s="7">
        <f t="shared" si="14"/>
        <v>42.028985507246375</v>
      </c>
      <c r="AX5" s="7" t="str">
        <f t="shared" si="15"/>
        <v/>
      </c>
      <c r="AY5" s="7">
        <f t="shared" si="16"/>
        <v>2.8985507246376812</v>
      </c>
      <c r="AZ5" s="7" t="str">
        <f t="shared" si="17"/>
        <v/>
      </c>
      <c r="BA5" s="7">
        <f t="shared" si="18"/>
        <v>4.3478260869565215</v>
      </c>
      <c r="BB5" s="7">
        <f t="shared" si="19"/>
        <v>8.695652173913043</v>
      </c>
      <c r="BC5" s="7">
        <f t="shared" si="20"/>
        <v>1.4492753623188406</v>
      </c>
    </row>
    <row r="6" spans="1:55" x14ac:dyDescent="0.2">
      <c r="A6" s="10" t="s">
        <v>98</v>
      </c>
      <c r="B6" s="10" t="s">
        <v>120</v>
      </c>
      <c r="C6" s="10" t="s">
        <v>121</v>
      </c>
      <c r="D6" s="9">
        <v>42928</v>
      </c>
      <c r="E6" s="6">
        <v>17.06484</v>
      </c>
      <c r="F6" s="6">
        <v>-61.667099999999998</v>
      </c>
      <c r="G6" s="10" t="s">
        <v>114</v>
      </c>
      <c r="H6" s="10" t="s">
        <v>99</v>
      </c>
      <c r="I6" s="10" t="s">
        <v>110</v>
      </c>
      <c r="J6" s="10" t="s">
        <v>111</v>
      </c>
      <c r="K6" s="8">
        <v>8.3000000000000007</v>
      </c>
      <c r="L6" s="7">
        <v>2</v>
      </c>
      <c r="M6" s="13">
        <v>89</v>
      </c>
      <c r="N6" s="7">
        <v>0</v>
      </c>
      <c r="O6" s="7">
        <v>0</v>
      </c>
      <c r="P6" s="7">
        <v>14</v>
      </c>
      <c r="Q6" s="7">
        <v>0</v>
      </c>
      <c r="R6" s="7">
        <v>0</v>
      </c>
      <c r="S6" s="7">
        <v>3</v>
      </c>
      <c r="T6" s="7">
        <v>0</v>
      </c>
      <c r="U6" s="7">
        <v>0</v>
      </c>
      <c r="V6" s="7">
        <v>4</v>
      </c>
      <c r="W6" s="7">
        <v>0</v>
      </c>
      <c r="X6" s="7">
        <v>0</v>
      </c>
      <c r="Y6" s="7">
        <v>2</v>
      </c>
      <c r="Z6" s="7">
        <v>13</v>
      </c>
      <c r="AA6" s="7">
        <v>2</v>
      </c>
      <c r="AB6" s="7">
        <v>27</v>
      </c>
      <c r="AC6" s="7">
        <v>0</v>
      </c>
      <c r="AD6" s="7">
        <v>9</v>
      </c>
      <c r="AE6" s="7">
        <v>0</v>
      </c>
      <c r="AF6" s="7">
        <v>2</v>
      </c>
      <c r="AG6" s="7">
        <v>1</v>
      </c>
      <c r="AH6" s="13">
        <v>0</v>
      </c>
      <c r="AI6" s="7" t="str">
        <f t="shared" si="0"/>
        <v/>
      </c>
      <c r="AJ6" s="7" t="str">
        <f t="shared" si="1"/>
        <v/>
      </c>
      <c r="AK6" s="7">
        <f t="shared" si="2"/>
        <v>15.730337078651685</v>
      </c>
      <c r="AL6" s="7" t="str">
        <f t="shared" si="3"/>
        <v/>
      </c>
      <c r="AM6" s="7" t="str">
        <f t="shared" si="4"/>
        <v/>
      </c>
      <c r="AN6" s="7">
        <f t="shared" si="5"/>
        <v>3.3707865168539324</v>
      </c>
      <c r="AO6" s="7" t="str">
        <f t="shared" si="6"/>
        <v/>
      </c>
      <c r="AP6" s="7" t="str">
        <f t="shared" si="7"/>
        <v/>
      </c>
      <c r="AQ6" s="7">
        <f t="shared" si="8"/>
        <v>4.4943820224719104</v>
      </c>
      <c r="AR6" s="7" t="str">
        <f t="shared" si="9"/>
        <v/>
      </c>
      <c r="AS6" s="7" t="str">
        <f t="shared" si="10"/>
        <v/>
      </c>
      <c r="AT6" s="7">
        <f t="shared" si="11"/>
        <v>2.2471910112359552</v>
      </c>
      <c r="AU6" s="7">
        <f t="shared" si="12"/>
        <v>14.606741573033707</v>
      </c>
      <c r="AV6" s="7">
        <f t="shared" si="13"/>
        <v>2.2471910112359552</v>
      </c>
      <c r="AW6" s="7">
        <f t="shared" si="14"/>
        <v>30.337078651685395</v>
      </c>
      <c r="AX6" s="7" t="str">
        <f t="shared" si="15"/>
        <v/>
      </c>
      <c r="AY6" s="7">
        <f t="shared" si="16"/>
        <v>10.112359550561797</v>
      </c>
      <c r="AZ6" s="7" t="str">
        <f t="shared" si="17"/>
        <v/>
      </c>
      <c r="BA6" s="7">
        <f t="shared" si="18"/>
        <v>2.2471910112359552</v>
      </c>
      <c r="BB6" s="7">
        <f t="shared" si="19"/>
        <v>1.1235955056179776</v>
      </c>
      <c r="BC6" s="7" t="str">
        <f t="shared" si="20"/>
        <v/>
      </c>
    </row>
    <row r="7" spans="1:55" x14ac:dyDescent="0.2">
      <c r="A7" s="10" t="s">
        <v>98</v>
      </c>
      <c r="B7" s="10" t="s">
        <v>122</v>
      </c>
      <c r="C7" s="10" t="s">
        <v>123</v>
      </c>
      <c r="D7" s="9">
        <v>42928</v>
      </c>
      <c r="E7" s="6">
        <v>17.142430000000001</v>
      </c>
      <c r="F7" s="6">
        <v>-61.724319999999999</v>
      </c>
      <c r="G7" s="10" t="s">
        <v>117</v>
      </c>
      <c r="H7" s="10" t="s">
        <v>99</v>
      </c>
      <c r="I7" s="10" t="s">
        <v>110</v>
      </c>
      <c r="J7" s="10" t="s">
        <v>111</v>
      </c>
      <c r="K7" s="8">
        <v>1.4</v>
      </c>
      <c r="L7" s="7">
        <v>2</v>
      </c>
      <c r="M7" s="13">
        <v>39</v>
      </c>
      <c r="N7" s="7">
        <v>7</v>
      </c>
      <c r="O7" s="7">
        <v>3</v>
      </c>
      <c r="P7" s="7">
        <v>1</v>
      </c>
      <c r="Q7" s="7">
        <v>0</v>
      </c>
      <c r="R7" s="7">
        <v>0</v>
      </c>
      <c r="S7" s="7">
        <v>0</v>
      </c>
      <c r="T7" s="7">
        <v>2</v>
      </c>
      <c r="U7" s="7">
        <v>0</v>
      </c>
      <c r="V7" s="7">
        <v>1</v>
      </c>
      <c r="W7" s="7">
        <v>0</v>
      </c>
      <c r="X7" s="7">
        <v>0</v>
      </c>
      <c r="Y7" s="7">
        <v>0</v>
      </c>
      <c r="Z7" s="7">
        <v>3</v>
      </c>
      <c r="AA7" s="7">
        <v>1</v>
      </c>
      <c r="AB7" s="7">
        <v>15</v>
      </c>
      <c r="AC7" s="7">
        <v>1</v>
      </c>
      <c r="AD7" s="7">
        <v>1</v>
      </c>
      <c r="AE7" s="7">
        <v>0</v>
      </c>
      <c r="AF7" s="7">
        <v>4</v>
      </c>
      <c r="AG7" s="7">
        <v>0</v>
      </c>
      <c r="AH7" s="13">
        <v>0</v>
      </c>
      <c r="AI7" s="7">
        <f t="shared" si="0"/>
        <v>17.948717948717949</v>
      </c>
      <c r="AJ7" s="7">
        <f t="shared" si="1"/>
        <v>7.6923076923076925</v>
      </c>
      <c r="AK7" s="7">
        <f t="shared" si="2"/>
        <v>2.5641025641025639</v>
      </c>
      <c r="AL7" s="7" t="str">
        <f t="shared" si="3"/>
        <v/>
      </c>
      <c r="AM7" s="7" t="str">
        <f t="shared" si="4"/>
        <v/>
      </c>
      <c r="AN7" s="7" t="str">
        <f t="shared" si="5"/>
        <v/>
      </c>
      <c r="AO7" s="7">
        <f t="shared" si="6"/>
        <v>5.1282051282051277</v>
      </c>
      <c r="AP7" s="7" t="str">
        <f t="shared" si="7"/>
        <v/>
      </c>
      <c r="AQ7" s="7">
        <f t="shared" si="8"/>
        <v>2.5641025641025639</v>
      </c>
      <c r="AR7" s="7" t="str">
        <f t="shared" si="9"/>
        <v/>
      </c>
      <c r="AS7" s="7" t="str">
        <f t="shared" si="10"/>
        <v/>
      </c>
      <c r="AT7" s="7" t="str">
        <f t="shared" si="11"/>
        <v/>
      </c>
      <c r="AU7" s="7">
        <f t="shared" si="12"/>
        <v>7.6923076923076925</v>
      </c>
      <c r="AV7" s="7">
        <f t="shared" si="13"/>
        <v>2.5641025641025639</v>
      </c>
      <c r="AW7" s="7">
        <f t="shared" si="14"/>
        <v>38.461538461538467</v>
      </c>
      <c r="AX7" s="7">
        <f t="shared" si="15"/>
        <v>2.5641025641025639</v>
      </c>
      <c r="AY7" s="7">
        <f t="shared" si="16"/>
        <v>2.5641025641025639</v>
      </c>
      <c r="AZ7" s="7" t="str">
        <f t="shared" si="17"/>
        <v/>
      </c>
      <c r="BA7" s="7">
        <f t="shared" si="18"/>
        <v>10.256410256410255</v>
      </c>
      <c r="BB7" s="7" t="str">
        <f t="shared" si="19"/>
        <v/>
      </c>
      <c r="BC7" s="7" t="str">
        <f t="shared" si="20"/>
        <v/>
      </c>
    </row>
    <row r="8" spans="1:55" x14ac:dyDescent="0.2">
      <c r="A8" s="10" t="s">
        <v>98</v>
      </c>
      <c r="B8" s="10" t="s">
        <v>124</v>
      </c>
      <c r="C8" s="10" t="s">
        <v>125</v>
      </c>
      <c r="D8" s="9">
        <v>42929</v>
      </c>
      <c r="E8" s="6">
        <v>17.120339999999999</v>
      </c>
      <c r="F8" s="6">
        <v>-61.709200000000003</v>
      </c>
      <c r="G8" s="10" t="s">
        <v>114</v>
      </c>
      <c r="H8" s="10" t="s">
        <v>99</v>
      </c>
      <c r="I8" s="10" t="s">
        <v>110</v>
      </c>
      <c r="J8" s="10" t="s">
        <v>111</v>
      </c>
      <c r="K8" s="8">
        <v>7.5</v>
      </c>
      <c r="L8" s="7">
        <v>2</v>
      </c>
      <c r="M8" s="13">
        <v>33</v>
      </c>
      <c r="N8" s="7">
        <v>0</v>
      </c>
      <c r="O8" s="7">
        <v>0</v>
      </c>
      <c r="P8" s="7">
        <v>8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2</v>
      </c>
      <c r="Z8" s="7">
        <v>6</v>
      </c>
      <c r="AA8" s="7">
        <v>0</v>
      </c>
      <c r="AB8" s="7">
        <v>11</v>
      </c>
      <c r="AC8" s="7">
        <v>4</v>
      </c>
      <c r="AD8" s="7">
        <v>0</v>
      </c>
      <c r="AE8" s="7">
        <v>0</v>
      </c>
      <c r="AF8" s="7">
        <v>0</v>
      </c>
      <c r="AG8" s="7">
        <v>1</v>
      </c>
      <c r="AH8" s="13">
        <v>0</v>
      </c>
      <c r="AI8" s="7" t="str">
        <f t="shared" si="0"/>
        <v/>
      </c>
      <c r="AJ8" s="7" t="str">
        <f t="shared" si="1"/>
        <v/>
      </c>
      <c r="AK8" s="7">
        <f t="shared" si="2"/>
        <v>24.242424242424242</v>
      </c>
      <c r="AL8" s="7" t="str">
        <f t="shared" si="3"/>
        <v/>
      </c>
      <c r="AM8" s="7" t="str">
        <f t="shared" si="4"/>
        <v/>
      </c>
      <c r="AN8" s="7" t="str">
        <f t="shared" si="5"/>
        <v/>
      </c>
      <c r="AO8" s="7" t="str">
        <f t="shared" si="6"/>
        <v/>
      </c>
      <c r="AP8" s="7" t="str">
        <f t="shared" si="7"/>
        <v/>
      </c>
      <c r="AQ8" s="7" t="str">
        <f t="shared" si="8"/>
        <v/>
      </c>
      <c r="AR8" s="7" t="str">
        <f t="shared" si="9"/>
        <v/>
      </c>
      <c r="AS8" s="7" t="str">
        <f t="shared" si="10"/>
        <v/>
      </c>
      <c r="AT8" s="7">
        <f t="shared" si="11"/>
        <v>6.0606060606060606</v>
      </c>
      <c r="AU8" s="7">
        <f t="shared" si="12"/>
        <v>18.181818181818183</v>
      </c>
      <c r="AV8" s="7" t="str">
        <f t="shared" si="13"/>
        <v/>
      </c>
      <c r="AW8" s="7">
        <f t="shared" si="14"/>
        <v>33.333333333333329</v>
      </c>
      <c r="AX8" s="7">
        <f t="shared" si="15"/>
        <v>12.121212121212121</v>
      </c>
      <c r="AY8" s="7" t="str">
        <f t="shared" si="16"/>
        <v/>
      </c>
      <c r="AZ8" s="7" t="str">
        <f t="shared" si="17"/>
        <v/>
      </c>
      <c r="BA8" s="7" t="str">
        <f t="shared" si="18"/>
        <v/>
      </c>
      <c r="BB8" s="7">
        <f t="shared" si="19"/>
        <v>3.0303030303030303</v>
      </c>
      <c r="BC8" s="7" t="str">
        <f t="shared" si="20"/>
        <v/>
      </c>
    </row>
    <row r="9" spans="1:55" x14ac:dyDescent="0.2">
      <c r="A9" s="10" t="s">
        <v>98</v>
      </c>
      <c r="B9" s="10" t="s">
        <v>126</v>
      </c>
      <c r="C9" s="10" t="s">
        <v>127</v>
      </c>
      <c r="D9" s="9">
        <v>42929</v>
      </c>
      <c r="E9" s="6">
        <v>17.13908</v>
      </c>
      <c r="F9" s="6">
        <v>-61.720869999999998</v>
      </c>
      <c r="G9" s="10" t="s">
        <v>128</v>
      </c>
      <c r="H9" s="10" t="s">
        <v>99</v>
      </c>
      <c r="I9" s="10" t="s">
        <v>110</v>
      </c>
      <c r="J9" s="10" t="s">
        <v>111</v>
      </c>
      <c r="K9" s="8">
        <v>4.0999999999999996</v>
      </c>
      <c r="L9" s="7">
        <v>2</v>
      </c>
      <c r="M9" s="13">
        <v>65</v>
      </c>
      <c r="N9" s="7">
        <v>0</v>
      </c>
      <c r="O9" s="7">
        <v>8</v>
      </c>
      <c r="P9" s="7">
        <v>12</v>
      </c>
      <c r="Q9" s="7">
        <v>0</v>
      </c>
      <c r="R9" s="7">
        <v>0</v>
      </c>
      <c r="S9" s="7">
        <v>0</v>
      </c>
      <c r="T9" s="7">
        <v>2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2</v>
      </c>
      <c r="AA9" s="7">
        <v>0</v>
      </c>
      <c r="AB9" s="7">
        <v>28</v>
      </c>
      <c r="AC9" s="7">
        <v>2</v>
      </c>
      <c r="AD9" s="7">
        <v>0</v>
      </c>
      <c r="AE9" s="7">
        <v>3</v>
      </c>
      <c r="AF9" s="7">
        <v>4</v>
      </c>
      <c r="AG9" s="7">
        <v>0</v>
      </c>
      <c r="AH9" s="13">
        <v>0</v>
      </c>
      <c r="AI9" s="7" t="str">
        <f t="shared" si="0"/>
        <v/>
      </c>
      <c r="AJ9" s="7">
        <f t="shared" si="1"/>
        <v>12.307692307692308</v>
      </c>
      <c r="AK9" s="7">
        <f t="shared" si="2"/>
        <v>18.461538461538463</v>
      </c>
      <c r="AL9" s="7" t="str">
        <f t="shared" si="3"/>
        <v/>
      </c>
      <c r="AM9" s="7" t="str">
        <f t="shared" si="4"/>
        <v/>
      </c>
      <c r="AN9" s="7" t="str">
        <f t="shared" si="5"/>
        <v/>
      </c>
      <c r="AO9" s="7">
        <f t="shared" si="6"/>
        <v>3.0769230769230771</v>
      </c>
      <c r="AP9" s="7" t="str">
        <f t="shared" si="7"/>
        <v/>
      </c>
      <c r="AQ9" s="7" t="str">
        <f t="shared" si="8"/>
        <v/>
      </c>
      <c r="AR9" s="7" t="str">
        <f t="shared" si="9"/>
        <v/>
      </c>
      <c r="AS9" s="7" t="str">
        <f t="shared" si="10"/>
        <v/>
      </c>
      <c r="AT9" s="7">
        <f t="shared" si="11"/>
        <v>1.5384615384615385</v>
      </c>
      <c r="AU9" s="7">
        <f t="shared" si="12"/>
        <v>3.0769230769230771</v>
      </c>
      <c r="AV9" s="7" t="str">
        <f t="shared" si="13"/>
        <v/>
      </c>
      <c r="AW9" s="7">
        <f t="shared" si="14"/>
        <v>43.07692307692308</v>
      </c>
      <c r="AX9" s="7">
        <f t="shared" si="15"/>
        <v>3.0769230769230771</v>
      </c>
      <c r="AY9" s="7" t="str">
        <f t="shared" si="16"/>
        <v/>
      </c>
      <c r="AZ9" s="7">
        <f t="shared" si="17"/>
        <v>4.6153846153846159</v>
      </c>
      <c r="BA9" s="7">
        <f t="shared" si="18"/>
        <v>6.1538461538461542</v>
      </c>
      <c r="BB9" s="7" t="str">
        <f t="shared" si="19"/>
        <v/>
      </c>
      <c r="BC9" s="7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2025-09-23T17:31:25Z</dcterms:created>
  <dcterms:modified xsi:type="dcterms:W3CDTF">2025-09-23T17:31:26Z</dcterms:modified>
</cp:coreProperties>
</file>