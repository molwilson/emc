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MortalityPrevalence-4cm\"/>
    </mc:Choice>
  </mc:AlternateContent>
  <xr:revisionPtr revIDLastSave="0" documentId="8_{5FBA61F2-2B03-4C2C-88B0-D2023B8AFEDB}" xr6:coauthVersionLast="47" xr6:coauthVersionMax="47" xr10:uidLastSave="{00000000-0000-0000-0000-000000000000}"/>
  <bookViews>
    <workbookView xWindow="-990" yWindow="-16920" windowWidth="28800" windowHeight="15435" xr2:uid="{99380369-652F-4685-AB7F-381927A0E6B9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" i="2" l="1"/>
  <c r="R4" i="2"/>
  <c r="R5" i="2"/>
  <c r="R2" i="2"/>
  <c r="Q3" i="2"/>
  <c r="Q4" i="2"/>
  <c r="Q5" i="2"/>
  <c r="Q2" i="2"/>
  <c r="P3" i="2"/>
  <c r="P4" i="2"/>
  <c r="P5" i="2"/>
  <c r="P2" i="2"/>
  <c r="O3" i="2"/>
  <c r="O4" i="2"/>
  <c r="O5" i="2"/>
  <c r="O2" i="2"/>
  <c r="N3" i="2"/>
  <c r="N4" i="2"/>
  <c r="N5" i="2"/>
  <c r="N2" i="2"/>
  <c r="M3" i="2"/>
  <c r="M4" i="2"/>
  <c r="M5" i="2"/>
  <c r="M2" i="2"/>
</calcChain>
</file>

<file path=xl/sharedStrings.xml><?xml version="1.0" encoding="utf-8"?>
<sst xmlns="http://schemas.openxmlformats.org/spreadsheetml/2006/main" count="73" uniqueCount="50">
  <si>
    <t>Generated: Tue Sep 23 13:30:44 2025</t>
  </si>
  <si>
    <t xml:space="preserve"> </t>
  </si>
  <si>
    <t>Key</t>
  </si>
  <si>
    <t>Description</t>
  </si>
  <si>
    <t>Shelf</t>
  </si>
  <si>
    <t>Continental/insular shelf unit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</si>
  <si>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</si>
  <si>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</si>
  <si>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</si>
  <si>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</si>
  <si>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</si>
  <si>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</si>
  <si>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</si>
  <si>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</si>
  <si>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NC</t>
  </si>
  <si>
    <t>Total number of corals</t>
  </si>
  <si>
    <t>NSD</t>
  </si>
  <si>
    <t>Total number of standing dead corals (Old = 100%)</t>
  </si>
  <si>
    <t>NRM</t>
  </si>
  <si>
    <t>Total number of corals with recent mortality (Recent &gt; 0%)</t>
  </si>
  <si>
    <t>NNM</t>
  </si>
  <si>
    <t>Total number of corals with new mortality (New &gt; 0%)</t>
  </si>
  <si>
    <t>NTM</t>
  </si>
  <si>
    <t>Total number of corals with transitional mortality (Trans &gt; 0%)</t>
  </si>
  <si>
    <t>NOM</t>
  </si>
  <si>
    <t>Total number of corals with old mortality (Old &gt; 0%)</t>
  </si>
  <si>
    <t>NAM</t>
  </si>
  <si>
    <t>Total number of corals with any mortality (New &gt; 0% or Trans &gt; 0% or Old &gt; 0%)</t>
  </si>
  <si>
    <t>%SD</t>
  </si>
  <si>
    <t>Percentage of standing dead corals (Old = 100%)</t>
  </si>
  <si>
    <t>%RM</t>
  </si>
  <si>
    <t>Percentage of corals with recent mortality (Recent &gt; 0%)</t>
  </si>
  <si>
    <t>%NM</t>
  </si>
  <si>
    <t>Percentage of corals with new mortality (New &gt; 0%)</t>
  </si>
  <si>
    <t>%TM</t>
  </si>
  <si>
    <t>Percentage of corals with transitional mortality (Trans &gt; 0%)</t>
  </si>
  <si>
    <t>%OM</t>
  </si>
  <si>
    <t>Percentage of corals with old mortality (Old &gt; 0%)</t>
  </si>
  <si>
    <t>%AM</t>
  </si>
  <si>
    <t>Percentage of corals with any mortality (New &gt; 0% or Trans &gt; 0% or Old &gt; 0%)</t>
  </si>
  <si>
    <t>NOTE:</t>
  </si>
  <si>
    <t>* Filtering restrictions: corals with diameters less than 4 cm ignored</t>
  </si>
  <si>
    <t/>
  </si>
  <si>
    <t>* Mortality was measured in a non-comparable method for the Bahamas-1997 batch</t>
  </si>
  <si>
    <t>* For V5 protocol batches Recent = New + Transitional mortalities</t>
  </si>
  <si>
    <t>Antigua Shelf</t>
  </si>
  <si>
    <t>Back</t>
  </si>
  <si>
    <t>Fore</t>
  </si>
  <si>
    <t>Intertidal Crest:Back</t>
  </si>
  <si>
    <t>Subtidal Crest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</si>
</sst>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D145-1BAF-4CA5-8B41-9B3733F4FD0B}">
  <dimension ref="A1:B25"/>
  <sheetViews>
    <sheetView tabSelected="1" workbookViewId="0">
      <selection sqref="A1:B1"/>
    </sheetView>
  </sheetViews>
  <sheetFormatPr defaultRowHeight="12.75" x14ac:dyDescent="0.2"/>
  <cols>
    <col min="1" max="1" width="6.5703125" bestFit="1" customWidth="1"/>
    <col min="2" max="2" width="72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2" spans="1:2" x14ac:dyDescent="0.2">
      <c r="A22" s="4" t="s">
        <v>40</v>
      </c>
      <c r="B22" s="1" t="s">
        <v>41</v>
      </c>
    </row>
    <row r="23" spans="1:2" x14ac:dyDescent="0.2">
      <c r="A23" s="1" t="s">
        <v>42</v>
      </c>
      <c r="B23" s="1" t="s">
        <v>43</v>
      </c>
    </row>
    <row r="24" spans="1:2" x14ac:dyDescent="0.2">
      <c r="A24" s="1" t="s">
        <v>42</v>
      </c>
      <c r="B24" s="1" t="s">
        <v>44</v>
      </c>
    </row>
    <row r="25" spans="1:2" x14ac:dyDescent="0.2">
      <c r="A25" s="1" t="s">
        <v>1</v>
      </c>
      <c r="B25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195CC-F57C-42DD-8AE8-761CFB20D4E6}">
  <dimension ref="A1:R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12" width="6.7109375" style="5" customWidth="1"/>
    <col min="13" max="18" width="6.7109375" style="6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9" t="s">
        <v>26</v>
      </c>
      <c r="M1" s="8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</row>
    <row r="2" spans="1:18" x14ac:dyDescent="0.2">
      <c r="A2" s="7" t="s">
        <v>45</v>
      </c>
      <c r="B2" s="7" t="s">
        <v>46</v>
      </c>
      <c r="C2" s="6">
        <v>2.8</v>
      </c>
      <c r="D2" s="5">
        <v>1</v>
      </c>
      <c r="E2" s="5">
        <v>2</v>
      </c>
      <c r="F2" s="10">
        <v>31</v>
      </c>
      <c r="G2" s="5">
        <v>0</v>
      </c>
      <c r="H2" s="5">
        <v>0</v>
      </c>
      <c r="I2" s="5">
        <v>0</v>
      </c>
      <c r="J2" s="5">
        <v>0</v>
      </c>
      <c r="K2" s="5">
        <v>22</v>
      </c>
      <c r="L2" s="10">
        <v>22</v>
      </c>
      <c r="M2" s="6">
        <f>IF($F2&gt;0,100*G2/$F2," ")</f>
        <v>0</v>
      </c>
      <c r="N2" s="6">
        <f>IF($F2&gt;0,100*H2/$F2," ")</f>
        <v>0</v>
      </c>
      <c r="O2" s="6">
        <f>IF($F2&gt;0,100*I2/$F2," ")</f>
        <v>0</v>
      </c>
      <c r="P2" s="6">
        <f>IF($F2&gt;0,100*J2/$F2," ")</f>
        <v>0</v>
      </c>
      <c r="Q2" s="6">
        <f>IF($F2&gt;0,100*K2/$F2," ")</f>
        <v>70.967741935483872</v>
      </c>
      <c r="R2" s="6">
        <f>IF($F2&gt;0,100*L2/$F2," ")</f>
        <v>70.967741935483872</v>
      </c>
    </row>
    <row r="3" spans="1:18" x14ac:dyDescent="0.2">
      <c r="A3" s="7" t="s">
        <v>45</v>
      </c>
      <c r="B3" s="7" t="s">
        <v>47</v>
      </c>
      <c r="C3" s="6">
        <v>8.4</v>
      </c>
      <c r="D3" s="5">
        <v>4</v>
      </c>
      <c r="E3" s="5">
        <v>8</v>
      </c>
      <c r="F3" s="10">
        <v>229</v>
      </c>
      <c r="G3" s="5">
        <v>1</v>
      </c>
      <c r="H3" s="5">
        <v>6</v>
      </c>
      <c r="I3" s="5">
        <v>1</v>
      </c>
      <c r="J3" s="5">
        <v>5</v>
      </c>
      <c r="K3" s="5">
        <v>88</v>
      </c>
      <c r="L3" s="10">
        <v>92</v>
      </c>
      <c r="M3" s="6">
        <f t="shared" ref="M3:M5" si="0">IF($F3&gt;0,100*G3/$F3," ")</f>
        <v>0.4366812227074236</v>
      </c>
      <c r="N3" s="6">
        <f t="shared" ref="N3:N5" si="1">IF($F3&gt;0,100*H3/$F3," ")</f>
        <v>2.6200873362445414</v>
      </c>
      <c r="O3" s="6">
        <f t="shared" ref="O3:O5" si="2">IF($F3&gt;0,100*I3/$F3," ")</f>
        <v>0.4366812227074236</v>
      </c>
      <c r="P3" s="6">
        <f t="shared" ref="P3:P5" si="3">IF($F3&gt;0,100*J3/$F3," ")</f>
        <v>2.1834061135371181</v>
      </c>
      <c r="Q3" s="6">
        <f t="shared" ref="Q3:Q5" si="4">IF($F3&gt;0,100*K3/$F3," ")</f>
        <v>38.427947598253276</v>
      </c>
      <c r="R3" s="6">
        <f t="shared" ref="R3:R5" si="5">IF($F3&gt;0,100*L3/$F3," ")</f>
        <v>40.174672489082973</v>
      </c>
    </row>
    <row r="4" spans="1:18" x14ac:dyDescent="0.2">
      <c r="A4" s="7" t="s">
        <v>45</v>
      </c>
      <c r="B4" s="7" t="s">
        <v>48</v>
      </c>
      <c r="C4" s="6">
        <v>2.1</v>
      </c>
      <c r="D4" s="5">
        <v>2</v>
      </c>
      <c r="E4" s="5">
        <v>4</v>
      </c>
      <c r="F4" s="10">
        <v>85</v>
      </c>
      <c r="G4" s="5">
        <v>0</v>
      </c>
      <c r="H4" s="5">
        <v>2</v>
      </c>
      <c r="I4" s="5">
        <v>0</v>
      </c>
      <c r="J4" s="5">
        <v>2</v>
      </c>
      <c r="K4" s="5">
        <v>32</v>
      </c>
      <c r="L4" s="10">
        <v>32</v>
      </c>
      <c r="M4" s="6">
        <f t="shared" si="0"/>
        <v>0</v>
      </c>
      <c r="N4" s="6">
        <f t="shared" si="1"/>
        <v>2.3529411764705883</v>
      </c>
      <c r="O4" s="6">
        <f t="shared" si="2"/>
        <v>0</v>
      </c>
      <c r="P4" s="6">
        <f t="shared" si="3"/>
        <v>2.3529411764705883</v>
      </c>
      <c r="Q4" s="6">
        <f t="shared" si="4"/>
        <v>37.647058823529413</v>
      </c>
      <c r="R4" s="6">
        <f t="shared" si="5"/>
        <v>37.647058823529413</v>
      </c>
    </row>
    <row r="5" spans="1:18" x14ac:dyDescent="0.2">
      <c r="A5" s="7" t="s">
        <v>45</v>
      </c>
      <c r="B5" s="7" t="s">
        <v>49</v>
      </c>
      <c r="C5" s="6">
        <v>4.0999999999999996</v>
      </c>
      <c r="D5" s="5">
        <v>1</v>
      </c>
      <c r="E5" s="5">
        <v>2</v>
      </c>
      <c r="F5" s="10">
        <v>65</v>
      </c>
      <c r="G5" s="5">
        <v>0</v>
      </c>
      <c r="H5" s="5">
        <v>0</v>
      </c>
      <c r="I5" s="5">
        <v>0</v>
      </c>
      <c r="J5" s="5">
        <v>0</v>
      </c>
      <c r="K5" s="5">
        <v>17</v>
      </c>
      <c r="L5" s="10">
        <v>17</v>
      </c>
      <c r="M5" s="6">
        <f t="shared" si="0"/>
        <v>0</v>
      </c>
      <c r="N5" s="6">
        <f t="shared" si="1"/>
        <v>0</v>
      </c>
      <c r="O5" s="6">
        <f t="shared" si="2"/>
        <v>0</v>
      </c>
      <c r="P5" s="6">
        <f t="shared" si="3"/>
        <v>0</v>
      </c>
      <c r="Q5" s="6">
        <f t="shared" si="4"/>
        <v>26.153846153846153</v>
      </c>
      <c r="R5" s="6">
        <f t="shared" si="5"/>
        <v>26.153846153846153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2025-09-23T17:32:12Z</dcterms:created>
  <dcterms:modified xsi:type="dcterms:W3CDTF">2025-09-23T17:32:13Z</dcterms:modified>
</cp:coreProperties>
</file>