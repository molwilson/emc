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10cm\"/>
    </mc:Choice>
  </mc:AlternateContent>
  <xr:revisionPtr revIDLastSave="0" documentId="8_{96A9EF63-4DFF-4E8F-9FD9-F50498AA9D73}" xr6:coauthVersionLast="47" xr6:coauthVersionMax="47" xr10:uidLastSave="{00000000-0000-0000-0000-000000000000}"/>
  <bookViews>
    <workbookView xWindow="-990" yWindow="-16920" windowWidth="28800" windowHeight="15435" xr2:uid="{DF6DD6E6-537C-462C-9800-B57A4CA9C53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" i="2"/>
</calcChain>
</file>

<file path=xl/sharedStrings.xml><?xml version="1.0" encoding="utf-8"?>
<sst xmlns="http://schemas.openxmlformats.org/spreadsheetml/2006/main" count="244" uniqueCount="106">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</sst>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#0"/>
    <numFmt numFmtId="167" formatCode="yyyy\-mm\-dd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8A27-4860-4CBA-B308-427E2E46AC2C}">
  <dimension ref="A1:C3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9" spans="1:2" x14ac:dyDescent="0.2">
      <c r="A29" s="4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56</v>
      </c>
      <c r="B31" s="1" t="s">
        <v>58</v>
      </c>
    </row>
    <row r="32" spans="1:2" x14ac:dyDescent="0.2">
      <c r="A32" s="1" t="s">
        <v>1</v>
      </c>
      <c r="B32" s="1" t="s">
        <v>1</v>
      </c>
    </row>
    <row r="33" spans="1:3" x14ac:dyDescent="0.2">
      <c r="A33" s="3" t="s">
        <v>4</v>
      </c>
      <c r="B33" s="3" t="s">
        <v>3</v>
      </c>
      <c r="C33" s="3" t="s">
        <v>59</v>
      </c>
    </row>
    <row r="34" spans="1:3" x14ac:dyDescent="0.2">
      <c r="A34" s="1" t="s">
        <v>60</v>
      </c>
      <c r="B34" s="1" t="s">
        <v>61</v>
      </c>
      <c r="C34" s="1" t="s">
        <v>62</v>
      </c>
    </row>
    <row r="35" spans="1:3" x14ac:dyDescent="0.2">
      <c r="A35" s="1" t="s">
        <v>63</v>
      </c>
      <c r="B35" s="1" t="s">
        <v>64</v>
      </c>
      <c r="C35" s="1" t="s">
        <v>65</v>
      </c>
    </row>
    <row r="36" spans="1:3" x14ac:dyDescent="0.2">
      <c r="A36" s="1" t="s">
        <v>66</v>
      </c>
      <c r="B36" s="1" t="s">
        <v>67</v>
      </c>
      <c r="C36" s="1" t="s">
        <v>65</v>
      </c>
    </row>
    <row r="37" spans="1:3" x14ac:dyDescent="0.2">
      <c r="A37" s="1" t="s">
        <v>68</v>
      </c>
      <c r="B37" s="1" t="s">
        <v>69</v>
      </c>
      <c r="C37" s="1" t="s">
        <v>65</v>
      </c>
    </row>
    <row r="38" spans="1:3" x14ac:dyDescent="0.2">
      <c r="A38" s="1" t="s">
        <v>70</v>
      </c>
      <c r="B38" s="1" t="s">
        <v>71</v>
      </c>
      <c r="C38" s="1" t="s">
        <v>65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36E9-8261-4E24-9065-732798E07ABB}">
  <dimension ref="A1:Y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5" customWidth="1"/>
    <col min="12" max="13" width="4.7109375" style="7" customWidth="1"/>
    <col min="14" max="19" width="6.7109375" style="7" customWidth="1"/>
    <col min="20" max="25" width="6.7109375" style="5" customWidth="1"/>
  </cols>
  <sheetData>
    <row r="1" spans="1:2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1" t="s">
        <v>28</v>
      </c>
      <c r="N1" s="10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11" t="s">
        <v>40</v>
      </c>
      <c r="T1" s="10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</row>
    <row r="2" spans="1:25" x14ac:dyDescent="0.2">
      <c r="A2" s="9" t="s">
        <v>60</v>
      </c>
      <c r="B2" s="9" t="s">
        <v>72</v>
      </c>
      <c r="D2" s="8">
        <v>38565</v>
      </c>
      <c r="E2" s="6">
        <v>17.164020000000001</v>
      </c>
      <c r="F2" s="6">
        <v>-61.732840000000003</v>
      </c>
      <c r="G2" s="9" t="s">
        <v>73</v>
      </c>
      <c r="H2" s="9" t="s">
        <v>64</v>
      </c>
      <c r="I2" s="9" t="s">
        <v>74</v>
      </c>
      <c r="J2" s="9" t="s">
        <v>75</v>
      </c>
      <c r="K2" s="5">
        <v>2.9</v>
      </c>
      <c r="L2" s="7">
        <v>6</v>
      </c>
      <c r="M2" s="12">
        <v>58</v>
      </c>
      <c r="N2" s="7">
        <v>0</v>
      </c>
      <c r="O2" s="7">
        <v>1</v>
      </c>
      <c r="P2" s="7">
        <v>0</v>
      </c>
      <c r="Q2" s="7">
        <v>0</v>
      </c>
      <c r="R2" s="7">
        <v>33</v>
      </c>
      <c r="S2" s="12">
        <v>33</v>
      </c>
      <c r="T2" s="5">
        <f>IF($M2&gt;0,100*N2/$M2," ")</f>
        <v>0</v>
      </c>
      <c r="U2" s="5">
        <f>IF($M2&gt;0,100*O2/$M2," ")</f>
        <v>1.7241379310344827</v>
      </c>
      <c r="V2" s="5">
        <f>IF($M2&gt;0,100*P2/$M2," ")</f>
        <v>0</v>
      </c>
      <c r="W2" s="5">
        <f>IF($M2&gt;0,100*Q2/$M2," ")</f>
        <v>0</v>
      </c>
      <c r="X2" s="5">
        <f>IF($M2&gt;0,100*R2/$M2," ")</f>
        <v>56.896551724137929</v>
      </c>
      <c r="Y2" s="5">
        <f>IF($M2&gt;0,100*S2/$M2," ")</f>
        <v>56.896551724137929</v>
      </c>
    </row>
    <row r="3" spans="1:25" x14ac:dyDescent="0.2">
      <c r="A3" s="9" t="s">
        <v>60</v>
      </c>
      <c r="B3" s="9" t="s">
        <v>76</v>
      </c>
      <c r="D3" s="8">
        <v>38565</v>
      </c>
      <c r="E3" s="6">
        <v>17.16723</v>
      </c>
      <c r="F3" s="6">
        <v>-61.72954</v>
      </c>
      <c r="G3" s="9" t="s">
        <v>77</v>
      </c>
      <c r="H3" s="9" t="s">
        <v>64</v>
      </c>
      <c r="I3" s="9" t="s">
        <v>74</v>
      </c>
      <c r="J3" s="9" t="s">
        <v>75</v>
      </c>
      <c r="K3" s="5">
        <v>2.2999999999999998</v>
      </c>
      <c r="L3" s="7">
        <v>6</v>
      </c>
      <c r="M3" s="12">
        <v>36</v>
      </c>
      <c r="N3" s="7">
        <v>3</v>
      </c>
      <c r="O3" s="7">
        <v>3</v>
      </c>
      <c r="P3" s="7">
        <v>0</v>
      </c>
      <c r="Q3" s="7">
        <v>0</v>
      </c>
      <c r="R3" s="7">
        <v>21</v>
      </c>
      <c r="S3" s="12">
        <v>21</v>
      </c>
      <c r="T3" s="5">
        <f t="shared" ref="T3:T23" si="0">IF($M3&gt;0,100*N3/$M3," ")</f>
        <v>8.3333333333333339</v>
      </c>
      <c r="U3" s="5">
        <f t="shared" ref="U3:U23" si="1">IF($M3&gt;0,100*O3/$M3," ")</f>
        <v>8.3333333333333339</v>
      </c>
      <c r="V3" s="5">
        <f t="shared" ref="V3:V23" si="2">IF($M3&gt;0,100*P3/$M3," ")</f>
        <v>0</v>
      </c>
      <c r="W3" s="5">
        <f t="shared" ref="W3:W23" si="3">IF($M3&gt;0,100*Q3/$M3," ")</f>
        <v>0</v>
      </c>
      <c r="X3" s="5">
        <f t="shared" ref="X3:X23" si="4">IF($M3&gt;0,100*R3/$M3," ")</f>
        <v>58.333333333333336</v>
      </c>
      <c r="Y3" s="5">
        <f t="shared" ref="Y3:Y23" si="5">IF($M3&gt;0,100*S3/$M3," ")</f>
        <v>58.333333333333336</v>
      </c>
    </row>
    <row r="4" spans="1:25" x14ac:dyDescent="0.2">
      <c r="A4" s="9" t="s">
        <v>60</v>
      </c>
      <c r="B4" s="9" t="s">
        <v>78</v>
      </c>
      <c r="D4" s="8">
        <v>38566</v>
      </c>
      <c r="E4" s="6">
        <v>17.14432</v>
      </c>
      <c r="F4" s="6">
        <v>-61.722470000000001</v>
      </c>
      <c r="G4" s="9" t="s">
        <v>77</v>
      </c>
      <c r="H4" s="9" t="s">
        <v>64</v>
      </c>
      <c r="I4" s="9" t="s">
        <v>74</v>
      </c>
      <c r="J4" s="9" t="s">
        <v>75</v>
      </c>
      <c r="K4" s="5">
        <v>5</v>
      </c>
      <c r="L4" s="7">
        <v>6</v>
      </c>
      <c r="M4" s="12">
        <v>49</v>
      </c>
      <c r="N4" s="7">
        <v>0</v>
      </c>
      <c r="O4" s="7">
        <v>3</v>
      </c>
      <c r="P4" s="7">
        <v>0</v>
      </c>
      <c r="Q4" s="7">
        <v>0</v>
      </c>
      <c r="R4" s="7">
        <v>27</v>
      </c>
      <c r="S4" s="12">
        <v>27</v>
      </c>
      <c r="T4" s="5">
        <f t="shared" si="0"/>
        <v>0</v>
      </c>
      <c r="U4" s="5">
        <f t="shared" si="1"/>
        <v>6.1224489795918364</v>
      </c>
      <c r="V4" s="5">
        <f t="shared" si="2"/>
        <v>0</v>
      </c>
      <c r="W4" s="5">
        <f t="shared" si="3"/>
        <v>0</v>
      </c>
      <c r="X4" s="5">
        <f t="shared" si="4"/>
        <v>55.102040816326529</v>
      </c>
      <c r="Y4" s="5">
        <f t="shared" si="5"/>
        <v>55.102040816326529</v>
      </c>
    </row>
    <row r="5" spans="1:25" x14ac:dyDescent="0.2">
      <c r="A5" s="9" t="s">
        <v>60</v>
      </c>
      <c r="B5" s="9" t="s">
        <v>79</v>
      </c>
      <c r="D5" s="8">
        <v>38566</v>
      </c>
      <c r="E5" s="6">
        <v>17.156459999999999</v>
      </c>
      <c r="F5" s="6">
        <v>-61.719729999999998</v>
      </c>
      <c r="G5" s="9" t="s">
        <v>80</v>
      </c>
      <c r="H5" s="9" t="s">
        <v>64</v>
      </c>
      <c r="I5" s="9" t="s">
        <v>74</v>
      </c>
      <c r="J5" s="9" t="s">
        <v>75</v>
      </c>
      <c r="K5" s="5">
        <v>9.4</v>
      </c>
      <c r="L5" s="7">
        <v>6</v>
      </c>
      <c r="M5" s="12">
        <v>83</v>
      </c>
      <c r="N5" s="7">
        <v>2</v>
      </c>
      <c r="O5" s="7">
        <v>6</v>
      </c>
      <c r="P5" s="7">
        <v>0</v>
      </c>
      <c r="Q5" s="7">
        <v>0</v>
      </c>
      <c r="R5" s="7">
        <v>42</v>
      </c>
      <c r="S5" s="12">
        <v>42</v>
      </c>
      <c r="T5" s="5">
        <f t="shared" si="0"/>
        <v>2.4096385542168677</v>
      </c>
      <c r="U5" s="5">
        <f t="shared" si="1"/>
        <v>7.2289156626506026</v>
      </c>
      <c r="V5" s="5">
        <f t="shared" si="2"/>
        <v>0</v>
      </c>
      <c r="W5" s="5">
        <f t="shared" si="3"/>
        <v>0</v>
      </c>
      <c r="X5" s="5">
        <f t="shared" si="4"/>
        <v>50.602409638554214</v>
      </c>
      <c r="Y5" s="5">
        <f t="shared" si="5"/>
        <v>50.602409638554214</v>
      </c>
    </row>
    <row r="6" spans="1:25" x14ac:dyDescent="0.2">
      <c r="A6" s="9" t="s">
        <v>60</v>
      </c>
      <c r="B6" s="9" t="s">
        <v>81</v>
      </c>
      <c r="D6" s="8">
        <v>38566</v>
      </c>
      <c r="E6" s="6">
        <v>17.15774</v>
      </c>
      <c r="F6" s="6">
        <v>-61.732660000000003</v>
      </c>
      <c r="G6" s="9" t="s">
        <v>82</v>
      </c>
      <c r="H6" s="9" t="s">
        <v>64</v>
      </c>
      <c r="I6" s="9" t="s">
        <v>74</v>
      </c>
      <c r="J6" s="9" t="s">
        <v>75</v>
      </c>
      <c r="K6" s="5">
        <v>2.2999999999999998</v>
      </c>
      <c r="L6" s="7">
        <v>6</v>
      </c>
      <c r="M6" s="12">
        <v>56</v>
      </c>
      <c r="N6" s="7">
        <v>0</v>
      </c>
      <c r="O6" s="7">
        <v>12</v>
      </c>
      <c r="P6" s="7">
        <v>0</v>
      </c>
      <c r="Q6" s="7">
        <v>0</v>
      </c>
      <c r="R6" s="7">
        <v>36</v>
      </c>
      <c r="S6" s="12">
        <v>36</v>
      </c>
      <c r="T6" s="5">
        <f t="shared" si="0"/>
        <v>0</v>
      </c>
      <c r="U6" s="5">
        <f t="shared" si="1"/>
        <v>21.428571428571427</v>
      </c>
      <c r="V6" s="5">
        <f t="shared" si="2"/>
        <v>0</v>
      </c>
      <c r="W6" s="5">
        <f t="shared" si="3"/>
        <v>0</v>
      </c>
      <c r="X6" s="5">
        <f t="shared" si="4"/>
        <v>64.285714285714292</v>
      </c>
      <c r="Y6" s="5">
        <f t="shared" si="5"/>
        <v>64.285714285714292</v>
      </c>
    </row>
    <row r="7" spans="1:25" x14ac:dyDescent="0.2">
      <c r="A7" s="9" t="s">
        <v>60</v>
      </c>
      <c r="B7" s="9" t="s">
        <v>83</v>
      </c>
      <c r="D7" s="8">
        <v>38567</v>
      </c>
      <c r="E7" s="6">
        <v>17.175640000000001</v>
      </c>
      <c r="F7" s="6">
        <v>-61.736519999999999</v>
      </c>
      <c r="G7" s="9" t="s">
        <v>80</v>
      </c>
      <c r="H7" s="9" t="s">
        <v>64</v>
      </c>
      <c r="I7" s="9" t="s">
        <v>74</v>
      </c>
      <c r="J7" s="9" t="s">
        <v>75</v>
      </c>
      <c r="K7" s="5">
        <v>6.4</v>
      </c>
      <c r="L7" s="7">
        <v>6</v>
      </c>
      <c r="M7" s="12">
        <v>49</v>
      </c>
      <c r="N7" s="7">
        <v>0</v>
      </c>
      <c r="O7" s="7">
        <v>6</v>
      </c>
      <c r="P7" s="7">
        <v>0</v>
      </c>
      <c r="Q7" s="7">
        <v>0</v>
      </c>
      <c r="R7" s="7">
        <v>25</v>
      </c>
      <c r="S7" s="12">
        <v>25</v>
      </c>
      <c r="T7" s="5">
        <f t="shared" si="0"/>
        <v>0</v>
      </c>
      <c r="U7" s="5">
        <f t="shared" si="1"/>
        <v>12.244897959183673</v>
      </c>
      <c r="V7" s="5">
        <f t="shared" si="2"/>
        <v>0</v>
      </c>
      <c r="W7" s="5">
        <f t="shared" si="3"/>
        <v>0</v>
      </c>
      <c r="X7" s="5">
        <f t="shared" si="4"/>
        <v>51.020408163265309</v>
      </c>
      <c r="Y7" s="5">
        <f t="shared" si="5"/>
        <v>51.020408163265309</v>
      </c>
    </row>
    <row r="8" spans="1:25" x14ac:dyDescent="0.2">
      <c r="A8" s="9" t="s">
        <v>60</v>
      </c>
      <c r="B8" s="9" t="s">
        <v>84</v>
      </c>
      <c r="D8" s="8">
        <v>38567</v>
      </c>
      <c r="E8" s="6">
        <v>17.181139999999999</v>
      </c>
      <c r="F8" s="6">
        <v>-61.755290000000002</v>
      </c>
      <c r="G8" s="9" t="s">
        <v>80</v>
      </c>
      <c r="H8" s="9" t="s">
        <v>64</v>
      </c>
      <c r="I8" s="9" t="s">
        <v>74</v>
      </c>
      <c r="J8" s="9" t="s">
        <v>75</v>
      </c>
      <c r="K8" s="5">
        <v>7.2</v>
      </c>
      <c r="L8" s="7">
        <v>7</v>
      </c>
      <c r="M8" s="12">
        <v>45</v>
      </c>
      <c r="N8" s="7">
        <v>0</v>
      </c>
      <c r="O8" s="7">
        <v>3</v>
      </c>
      <c r="P8" s="7">
        <v>0</v>
      </c>
      <c r="Q8" s="7">
        <v>0</v>
      </c>
      <c r="R8" s="7">
        <v>27</v>
      </c>
      <c r="S8" s="12">
        <v>27</v>
      </c>
      <c r="T8" s="5">
        <f t="shared" si="0"/>
        <v>0</v>
      </c>
      <c r="U8" s="5">
        <f t="shared" si="1"/>
        <v>6.666666666666667</v>
      </c>
      <c r="V8" s="5">
        <f t="shared" si="2"/>
        <v>0</v>
      </c>
      <c r="W8" s="5">
        <f t="shared" si="3"/>
        <v>0</v>
      </c>
      <c r="X8" s="5">
        <f t="shared" si="4"/>
        <v>60</v>
      </c>
      <c r="Y8" s="5">
        <f t="shared" si="5"/>
        <v>60</v>
      </c>
    </row>
    <row r="9" spans="1:25" x14ac:dyDescent="0.2">
      <c r="A9" s="9" t="s">
        <v>60</v>
      </c>
      <c r="B9" s="9" t="s">
        <v>85</v>
      </c>
      <c r="D9" s="8">
        <v>38567</v>
      </c>
      <c r="E9" s="6">
        <v>17.166830000000001</v>
      </c>
      <c r="F9" s="6">
        <v>-61.761069999999997</v>
      </c>
      <c r="G9" s="9" t="s">
        <v>82</v>
      </c>
      <c r="H9" s="9" t="s">
        <v>64</v>
      </c>
      <c r="I9" s="9" t="s">
        <v>74</v>
      </c>
      <c r="J9" s="9" t="s">
        <v>75</v>
      </c>
      <c r="K9" s="5">
        <v>4.5999999999999996</v>
      </c>
      <c r="L9" s="7">
        <v>6</v>
      </c>
      <c r="M9" s="12">
        <v>85</v>
      </c>
      <c r="N9" s="7">
        <v>6</v>
      </c>
      <c r="O9" s="7">
        <v>4</v>
      </c>
      <c r="P9" s="7">
        <v>0</v>
      </c>
      <c r="Q9" s="7">
        <v>0</v>
      </c>
      <c r="R9" s="7">
        <v>58</v>
      </c>
      <c r="S9" s="12">
        <v>58</v>
      </c>
      <c r="T9" s="5">
        <f t="shared" si="0"/>
        <v>7.0588235294117645</v>
      </c>
      <c r="U9" s="5">
        <f t="shared" si="1"/>
        <v>4.7058823529411766</v>
      </c>
      <c r="V9" s="5">
        <f t="shared" si="2"/>
        <v>0</v>
      </c>
      <c r="W9" s="5">
        <f t="shared" si="3"/>
        <v>0</v>
      </c>
      <c r="X9" s="5">
        <f t="shared" si="4"/>
        <v>68.235294117647058</v>
      </c>
      <c r="Y9" s="5">
        <f t="shared" si="5"/>
        <v>68.235294117647058</v>
      </c>
    </row>
    <row r="10" spans="1:25" x14ac:dyDescent="0.2">
      <c r="A10" s="9" t="s">
        <v>60</v>
      </c>
      <c r="B10" s="9" t="s">
        <v>86</v>
      </c>
      <c r="D10" s="8">
        <v>38568</v>
      </c>
      <c r="E10" s="6">
        <v>17.187999999999999</v>
      </c>
      <c r="F10" s="6">
        <v>-61.770899999999997</v>
      </c>
      <c r="G10" s="9" t="s">
        <v>80</v>
      </c>
      <c r="H10" s="9" t="s">
        <v>64</v>
      </c>
      <c r="I10" s="9" t="s">
        <v>74</v>
      </c>
      <c r="J10" s="9" t="s">
        <v>75</v>
      </c>
      <c r="K10" s="5">
        <v>8.1999999999999993</v>
      </c>
      <c r="L10" s="7">
        <v>6</v>
      </c>
      <c r="M10" s="12">
        <v>64</v>
      </c>
      <c r="N10" s="7">
        <v>0</v>
      </c>
      <c r="O10" s="7">
        <v>7</v>
      </c>
      <c r="P10" s="7">
        <v>0</v>
      </c>
      <c r="Q10" s="7">
        <v>0</v>
      </c>
      <c r="R10" s="7">
        <v>46</v>
      </c>
      <c r="S10" s="12">
        <v>46</v>
      </c>
      <c r="T10" s="5">
        <f t="shared" si="0"/>
        <v>0</v>
      </c>
      <c r="U10" s="5">
        <f t="shared" si="1"/>
        <v>10.9375</v>
      </c>
      <c r="V10" s="5">
        <f t="shared" si="2"/>
        <v>0</v>
      </c>
      <c r="W10" s="5">
        <f t="shared" si="3"/>
        <v>0</v>
      </c>
      <c r="X10" s="5">
        <f t="shared" si="4"/>
        <v>71.875</v>
      </c>
      <c r="Y10" s="5">
        <f t="shared" si="5"/>
        <v>71.875</v>
      </c>
    </row>
    <row r="11" spans="1:25" x14ac:dyDescent="0.2">
      <c r="A11" s="9" t="s">
        <v>60</v>
      </c>
      <c r="B11" s="9" t="s">
        <v>87</v>
      </c>
      <c r="D11" s="8">
        <v>38568</v>
      </c>
      <c r="E11" s="6">
        <v>17.189579999999999</v>
      </c>
      <c r="F11" s="6">
        <v>-61.789119999999997</v>
      </c>
      <c r="G11" s="9" t="s">
        <v>80</v>
      </c>
      <c r="H11" s="9" t="s">
        <v>64</v>
      </c>
      <c r="I11" s="9" t="s">
        <v>74</v>
      </c>
      <c r="J11" s="9" t="s">
        <v>75</v>
      </c>
      <c r="K11" s="5">
        <v>10.1</v>
      </c>
      <c r="L11" s="7">
        <v>6</v>
      </c>
      <c r="M11" s="12">
        <v>83</v>
      </c>
      <c r="N11" s="7">
        <v>0</v>
      </c>
      <c r="O11" s="7">
        <v>5</v>
      </c>
      <c r="P11" s="7">
        <v>0</v>
      </c>
      <c r="Q11" s="7">
        <v>0</v>
      </c>
      <c r="R11" s="7">
        <v>62</v>
      </c>
      <c r="S11" s="12">
        <v>62</v>
      </c>
      <c r="T11" s="5">
        <f t="shared" si="0"/>
        <v>0</v>
      </c>
      <c r="U11" s="5">
        <f t="shared" si="1"/>
        <v>6.024096385542169</v>
      </c>
      <c r="V11" s="5">
        <f t="shared" si="2"/>
        <v>0</v>
      </c>
      <c r="W11" s="5">
        <f t="shared" si="3"/>
        <v>0</v>
      </c>
      <c r="X11" s="5">
        <f t="shared" si="4"/>
        <v>74.698795180722897</v>
      </c>
      <c r="Y11" s="5">
        <f t="shared" si="5"/>
        <v>74.698795180722897</v>
      </c>
    </row>
    <row r="12" spans="1:25" x14ac:dyDescent="0.2">
      <c r="A12" s="9" t="s">
        <v>60</v>
      </c>
      <c r="B12" s="9" t="s">
        <v>88</v>
      </c>
      <c r="D12" s="8">
        <v>38568</v>
      </c>
      <c r="E12" s="6">
        <v>17.193739999999998</v>
      </c>
      <c r="F12" s="6">
        <v>-61.796819999999997</v>
      </c>
      <c r="G12" s="9" t="s">
        <v>73</v>
      </c>
      <c r="H12" s="9" t="s">
        <v>64</v>
      </c>
      <c r="I12" s="9" t="s">
        <v>74</v>
      </c>
      <c r="J12" s="9" t="s">
        <v>75</v>
      </c>
      <c r="K12" s="5">
        <v>7.9</v>
      </c>
      <c r="L12" s="7">
        <v>6</v>
      </c>
      <c r="M12" s="12">
        <v>78</v>
      </c>
      <c r="N12" s="7">
        <v>0</v>
      </c>
      <c r="O12" s="7">
        <v>3</v>
      </c>
      <c r="P12" s="7">
        <v>0</v>
      </c>
      <c r="Q12" s="7">
        <v>0</v>
      </c>
      <c r="R12" s="7">
        <v>58</v>
      </c>
      <c r="S12" s="12">
        <v>58</v>
      </c>
      <c r="T12" s="5">
        <f t="shared" si="0"/>
        <v>0</v>
      </c>
      <c r="U12" s="5">
        <f t="shared" si="1"/>
        <v>3.8461538461538463</v>
      </c>
      <c r="V12" s="5">
        <f t="shared" si="2"/>
        <v>0</v>
      </c>
      <c r="W12" s="5">
        <f t="shared" si="3"/>
        <v>0</v>
      </c>
      <c r="X12" s="5">
        <f t="shared" si="4"/>
        <v>74.358974358974365</v>
      </c>
      <c r="Y12" s="5">
        <f t="shared" si="5"/>
        <v>74.358974358974365</v>
      </c>
    </row>
    <row r="13" spans="1:25" x14ac:dyDescent="0.2">
      <c r="A13" s="9" t="s">
        <v>60</v>
      </c>
      <c r="B13" s="9" t="s">
        <v>89</v>
      </c>
      <c r="D13" s="8">
        <v>38569</v>
      </c>
      <c r="E13" s="6">
        <v>17.11684</v>
      </c>
      <c r="F13" s="6">
        <v>-62.012799999999999</v>
      </c>
      <c r="G13" s="9" t="s">
        <v>80</v>
      </c>
      <c r="H13" s="9" t="s">
        <v>64</v>
      </c>
      <c r="I13" s="9" t="s">
        <v>74</v>
      </c>
      <c r="J13" s="9" t="s">
        <v>75</v>
      </c>
      <c r="K13" s="5">
        <v>13.6</v>
      </c>
      <c r="L13" s="7">
        <v>6</v>
      </c>
      <c r="M13" s="12">
        <v>60</v>
      </c>
      <c r="N13" s="7">
        <v>0</v>
      </c>
      <c r="O13" s="7">
        <v>3</v>
      </c>
      <c r="P13" s="7">
        <v>0</v>
      </c>
      <c r="Q13" s="7">
        <v>0</v>
      </c>
      <c r="R13" s="7">
        <v>36</v>
      </c>
      <c r="S13" s="12">
        <v>36</v>
      </c>
      <c r="T13" s="5">
        <f t="shared" si="0"/>
        <v>0</v>
      </c>
      <c r="U13" s="5">
        <f t="shared" si="1"/>
        <v>5</v>
      </c>
      <c r="V13" s="5">
        <f t="shared" si="2"/>
        <v>0</v>
      </c>
      <c r="W13" s="5">
        <f t="shared" si="3"/>
        <v>0</v>
      </c>
      <c r="X13" s="5">
        <f t="shared" si="4"/>
        <v>60</v>
      </c>
      <c r="Y13" s="5">
        <f t="shared" si="5"/>
        <v>60</v>
      </c>
    </row>
    <row r="14" spans="1:25" x14ac:dyDescent="0.2">
      <c r="A14" s="9" t="s">
        <v>60</v>
      </c>
      <c r="B14" s="9" t="s">
        <v>90</v>
      </c>
      <c r="D14" s="8">
        <v>38569</v>
      </c>
      <c r="E14" s="6">
        <v>17.018339999999998</v>
      </c>
      <c r="F14" s="6">
        <v>-61.935180000000003</v>
      </c>
      <c r="G14" s="9" t="s">
        <v>80</v>
      </c>
      <c r="H14" s="9" t="s">
        <v>64</v>
      </c>
      <c r="I14" s="9" t="s">
        <v>74</v>
      </c>
      <c r="J14" s="9" t="s">
        <v>75</v>
      </c>
      <c r="K14" s="5">
        <v>11.7</v>
      </c>
      <c r="L14" s="7">
        <v>6</v>
      </c>
      <c r="M14" s="12">
        <v>54</v>
      </c>
      <c r="N14" s="7">
        <v>0</v>
      </c>
      <c r="O14" s="7">
        <v>0</v>
      </c>
      <c r="P14" s="7">
        <v>0</v>
      </c>
      <c r="Q14" s="7">
        <v>0</v>
      </c>
      <c r="R14" s="7">
        <v>28</v>
      </c>
      <c r="S14" s="12">
        <v>28</v>
      </c>
      <c r="T14" s="5">
        <f t="shared" si="0"/>
        <v>0</v>
      </c>
      <c r="U14" s="5">
        <f t="shared" si="1"/>
        <v>0</v>
      </c>
      <c r="V14" s="5">
        <f t="shared" si="2"/>
        <v>0</v>
      </c>
      <c r="W14" s="5">
        <f t="shared" si="3"/>
        <v>0</v>
      </c>
      <c r="X14" s="5">
        <f t="shared" si="4"/>
        <v>51.851851851851855</v>
      </c>
      <c r="Y14" s="5">
        <f t="shared" si="5"/>
        <v>51.851851851851855</v>
      </c>
    </row>
    <row r="15" spans="1:25" x14ac:dyDescent="0.2">
      <c r="A15" s="9" t="s">
        <v>60</v>
      </c>
      <c r="B15" s="9" t="s">
        <v>91</v>
      </c>
      <c r="D15" s="8">
        <v>38569</v>
      </c>
      <c r="E15" s="6">
        <v>17.003689999999999</v>
      </c>
      <c r="F15" s="6">
        <v>-61.864989999999999</v>
      </c>
      <c r="G15" s="9" t="s">
        <v>80</v>
      </c>
      <c r="H15" s="9" t="s">
        <v>64</v>
      </c>
      <c r="I15" s="9" t="s">
        <v>74</v>
      </c>
      <c r="J15" s="9" t="s">
        <v>75</v>
      </c>
      <c r="K15" s="5">
        <v>10.199999999999999</v>
      </c>
      <c r="L15" s="7">
        <v>6</v>
      </c>
      <c r="M15" s="12">
        <v>47</v>
      </c>
      <c r="N15" s="7">
        <v>0</v>
      </c>
      <c r="O15" s="7">
        <v>4</v>
      </c>
      <c r="P15" s="7">
        <v>0</v>
      </c>
      <c r="Q15" s="7">
        <v>0</v>
      </c>
      <c r="R15" s="7">
        <v>34</v>
      </c>
      <c r="S15" s="12">
        <v>34</v>
      </c>
      <c r="T15" s="5">
        <f t="shared" si="0"/>
        <v>0</v>
      </c>
      <c r="U15" s="5">
        <f t="shared" si="1"/>
        <v>8.5106382978723403</v>
      </c>
      <c r="V15" s="5">
        <f t="shared" si="2"/>
        <v>0</v>
      </c>
      <c r="W15" s="5">
        <f t="shared" si="3"/>
        <v>0</v>
      </c>
      <c r="X15" s="5">
        <f t="shared" si="4"/>
        <v>72.340425531914889</v>
      </c>
      <c r="Y15" s="5">
        <f t="shared" si="5"/>
        <v>72.340425531914889</v>
      </c>
    </row>
    <row r="16" spans="1:25" x14ac:dyDescent="0.2">
      <c r="A16" s="9" t="s">
        <v>63</v>
      </c>
      <c r="B16" s="9" t="s">
        <v>72</v>
      </c>
      <c r="C16" s="9" t="s">
        <v>92</v>
      </c>
      <c r="D16" s="8">
        <v>42927</v>
      </c>
      <c r="E16" s="6">
        <v>17.164020000000001</v>
      </c>
      <c r="F16" s="6">
        <v>-61.732840000000003</v>
      </c>
      <c r="G16" s="9" t="s">
        <v>73</v>
      </c>
      <c r="H16" s="9" t="s">
        <v>64</v>
      </c>
      <c r="I16" s="9" t="s">
        <v>74</v>
      </c>
      <c r="J16" s="9" t="s">
        <v>75</v>
      </c>
      <c r="K16" s="5">
        <v>2.8</v>
      </c>
      <c r="L16" s="7">
        <v>2</v>
      </c>
      <c r="M16" s="12">
        <v>30</v>
      </c>
      <c r="N16" s="7">
        <v>0</v>
      </c>
      <c r="O16" s="7">
        <v>0</v>
      </c>
      <c r="P16" s="7">
        <v>0</v>
      </c>
      <c r="Q16" s="7">
        <v>0</v>
      </c>
      <c r="R16" s="7">
        <v>22</v>
      </c>
      <c r="S16" s="12">
        <v>22</v>
      </c>
      <c r="T16" s="5">
        <f t="shared" si="0"/>
        <v>0</v>
      </c>
      <c r="U16" s="5">
        <f t="shared" si="1"/>
        <v>0</v>
      </c>
      <c r="V16" s="5">
        <f t="shared" si="2"/>
        <v>0</v>
      </c>
      <c r="W16" s="5">
        <f t="shared" si="3"/>
        <v>0</v>
      </c>
      <c r="X16" s="5">
        <f t="shared" si="4"/>
        <v>73.333333333333329</v>
      </c>
      <c r="Y16" s="5">
        <f t="shared" si="5"/>
        <v>73.333333333333329</v>
      </c>
    </row>
    <row r="17" spans="1:25" x14ac:dyDescent="0.2">
      <c r="A17" s="9" t="s">
        <v>63</v>
      </c>
      <c r="B17" s="9" t="s">
        <v>84</v>
      </c>
      <c r="C17" s="9" t="s">
        <v>93</v>
      </c>
      <c r="D17" s="8">
        <v>42927</v>
      </c>
      <c r="E17" s="6">
        <v>17.181139999999999</v>
      </c>
      <c r="F17" s="6">
        <v>-61.755290000000002</v>
      </c>
      <c r="G17" s="9" t="s">
        <v>80</v>
      </c>
      <c r="H17" s="9" t="s">
        <v>64</v>
      </c>
      <c r="I17" s="9" t="s">
        <v>74</v>
      </c>
      <c r="J17" s="9" t="s">
        <v>75</v>
      </c>
      <c r="K17" s="5">
        <v>7</v>
      </c>
      <c r="L17" s="7">
        <v>2</v>
      </c>
      <c r="M17" s="12">
        <v>30</v>
      </c>
      <c r="N17" s="7">
        <v>0</v>
      </c>
      <c r="O17" s="7">
        <v>0</v>
      </c>
      <c r="P17" s="7">
        <v>0</v>
      </c>
      <c r="Q17" s="7">
        <v>0</v>
      </c>
      <c r="R17" s="7">
        <v>7</v>
      </c>
      <c r="S17" s="12">
        <v>7</v>
      </c>
      <c r="T17" s="5">
        <f t="shared" si="0"/>
        <v>0</v>
      </c>
      <c r="U17" s="5">
        <f t="shared" si="1"/>
        <v>0</v>
      </c>
      <c r="V17" s="5">
        <f t="shared" si="2"/>
        <v>0</v>
      </c>
      <c r="W17" s="5">
        <f t="shared" si="3"/>
        <v>0</v>
      </c>
      <c r="X17" s="5">
        <f t="shared" si="4"/>
        <v>23.333333333333332</v>
      </c>
      <c r="Y17" s="5">
        <f t="shared" si="5"/>
        <v>23.333333333333332</v>
      </c>
    </row>
    <row r="18" spans="1:25" x14ac:dyDescent="0.2">
      <c r="A18" s="9" t="s">
        <v>63</v>
      </c>
      <c r="B18" s="9" t="s">
        <v>94</v>
      </c>
      <c r="C18" s="9" t="s">
        <v>95</v>
      </c>
      <c r="D18" s="8">
        <v>42929</v>
      </c>
      <c r="E18" s="6">
        <v>17.14676</v>
      </c>
      <c r="F18" s="6">
        <v>-61.72824</v>
      </c>
      <c r="G18" s="9" t="s">
        <v>96</v>
      </c>
      <c r="H18" s="9" t="s">
        <v>64</v>
      </c>
      <c r="I18" s="9" t="s">
        <v>74</v>
      </c>
      <c r="J18" s="9" t="s">
        <v>75</v>
      </c>
      <c r="K18" s="5">
        <v>2.8</v>
      </c>
      <c r="L18" s="7">
        <v>2</v>
      </c>
      <c r="M18" s="12">
        <v>32</v>
      </c>
      <c r="N18" s="7">
        <v>0</v>
      </c>
      <c r="O18" s="7">
        <v>1</v>
      </c>
      <c r="P18" s="7">
        <v>0</v>
      </c>
      <c r="Q18" s="7">
        <v>1</v>
      </c>
      <c r="R18" s="7">
        <v>18</v>
      </c>
      <c r="S18" s="12">
        <v>18</v>
      </c>
      <c r="T18" s="5">
        <f t="shared" si="0"/>
        <v>0</v>
      </c>
      <c r="U18" s="5">
        <f t="shared" si="1"/>
        <v>3.125</v>
      </c>
      <c r="V18" s="5">
        <f t="shared" si="2"/>
        <v>0</v>
      </c>
      <c r="W18" s="5">
        <f t="shared" si="3"/>
        <v>3.125</v>
      </c>
      <c r="X18" s="5">
        <f t="shared" si="4"/>
        <v>56.25</v>
      </c>
      <c r="Y18" s="5">
        <f t="shared" si="5"/>
        <v>56.25</v>
      </c>
    </row>
    <row r="19" spans="1:25" x14ac:dyDescent="0.2">
      <c r="A19" s="9" t="s">
        <v>63</v>
      </c>
      <c r="B19" s="9" t="s">
        <v>87</v>
      </c>
      <c r="C19" s="9" t="s">
        <v>97</v>
      </c>
      <c r="D19" s="8">
        <v>42927</v>
      </c>
      <c r="E19" s="6">
        <v>17.189579999999999</v>
      </c>
      <c r="F19" s="6">
        <v>-61.789119999999997</v>
      </c>
      <c r="G19" s="9" t="s">
        <v>80</v>
      </c>
      <c r="H19" s="9" t="s">
        <v>64</v>
      </c>
      <c r="I19" s="9" t="s">
        <v>74</v>
      </c>
      <c r="J19" s="9" t="s">
        <v>75</v>
      </c>
      <c r="K19" s="5">
        <v>10.7</v>
      </c>
      <c r="L19" s="7">
        <v>2</v>
      </c>
      <c r="M19" s="12">
        <v>65</v>
      </c>
      <c r="N19" s="7">
        <v>1</v>
      </c>
      <c r="O19" s="7">
        <v>1</v>
      </c>
      <c r="P19" s="7">
        <v>0</v>
      </c>
      <c r="Q19" s="7">
        <v>1</v>
      </c>
      <c r="R19" s="7">
        <v>35</v>
      </c>
      <c r="S19" s="12">
        <v>35</v>
      </c>
      <c r="T19" s="5">
        <f t="shared" si="0"/>
        <v>1.5384615384615385</v>
      </c>
      <c r="U19" s="5">
        <f t="shared" si="1"/>
        <v>1.5384615384615385</v>
      </c>
      <c r="V19" s="5">
        <f t="shared" si="2"/>
        <v>0</v>
      </c>
      <c r="W19" s="5">
        <f t="shared" si="3"/>
        <v>1.5384615384615385</v>
      </c>
      <c r="X19" s="5">
        <f t="shared" si="4"/>
        <v>53.846153846153847</v>
      </c>
      <c r="Y19" s="5">
        <f t="shared" si="5"/>
        <v>53.846153846153847</v>
      </c>
    </row>
    <row r="20" spans="1:25" x14ac:dyDescent="0.2">
      <c r="A20" s="9" t="s">
        <v>63</v>
      </c>
      <c r="B20" s="9" t="s">
        <v>91</v>
      </c>
      <c r="C20" s="9" t="s">
        <v>98</v>
      </c>
      <c r="D20" s="8">
        <v>42928</v>
      </c>
      <c r="E20" s="6">
        <v>17.06484</v>
      </c>
      <c r="F20" s="6">
        <v>-61.667099999999998</v>
      </c>
      <c r="G20" s="9" t="s">
        <v>80</v>
      </c>
      <c r="H20" s="9" t="s">
        <v>64</v>
      </c>
      <c r="I20" s="9" t="s">
        <v>74</v>
      </c>
      <c r="J20" s="9" t="s">
        <v>75</v>
      </c>
      <c r="K20" s="5">
        <v>8.3000000000000007</v>
      </c>
      <c r="L20" s="7">
        <v>2</v>
      </c>
      <c r="M20" s="12">
        <v>59</v>
      </c>
      <c r="N20" s="7">
        <v>0</v>
      </c>
      <c r="O20" s="7">
        <v>1</v>
      </c>
      <c r="P20" s="7">
        <v>0</v>
      </c>
      <c r="Q20" s="7">
        <v>1</v>
      </c>
      <c r="R20" s="7">
        <v>28</v>
      </c>
      <c r="S20" s="12">
        <v>29</v>
      </c>
      <c r="T20" s="5">
        <f t="shared" si="0"/>
        <v>0</v>
      </c>
      <c r="U20" s="5">
        <f t="shared" si="1"/>
        <v>1.6949152542372881</v>
      </c>
      <c r="V20" s="5">
        <f t="shared" si="2"/>
        <v>0</v>
      </c>
      <c r="W20" s="5">
        <f t="shared" si="3"/>
        <v>1.6949152542372881</v>
      </c>
      <c r="X20" s="5">
        <f t="shared" si="4"/>
        <v>47.457627118644069</v>
      </c>
      <c r="Y20" s="5">
        <f t="shared" si="5"/>
        <v>49.152542372881356</v>
      </c>
    </row>
    <row r="21" spans="1:25" x14ac:dyDescent="0.2">
      <c r="A21" s="9" t="s">
        <v>63</v>
      </c>
      <c r="B21" s="9" t="s">
        <v>99</v>
      </c>
      <c r="C21" s="9" t="s">
        <v>100</v>
      </c>
      <c r="D21" s="8">
        <v>42928</v>
      </c>
      <c r="E21" s="6">
        <v>17.142430000000001</v>
      </c>
      <c r="F21" s="6">
        <v>-61.724319999999999</v>
      </c>
      <c r="G21" s="9" t="s">
        <v>96</v>
      </c>
      <c r="H21" s="9" t="s">
        <v>64</v>
      </c>
      <c r="I21" s="9" t="s">
        <v>74</v>
      </c>
      <c r="J21" s="9" t="s">
        <v>75</v>
      </c>
      <c r="K21" s="5">
        <v>1.4</v>
      </c>
      <c r="L21" s="7">
        <v>2</v>
      </c>
      <c r="M21" s="12">
        <v>33</v>
      </c>
      <c r="N21" s="7">
        <v>0</v>
      </c>
      <c r="O21" s="7">
        <v>1</v>
      </c>
      <c r="P21" s="7">
        <v>0</v>
      </c>
      <c r="Q21" s="7">
        <v>1</v>
      </c>
      <c r="R21" s="7">
        <v>12</v>
      </c>
      <c r="S21" s="12">
        <v>12</v>
      </c>
      <c r="T21" s="5">
        <f t="shared" si="0"/>
        <v>0</v>
      </c>
      <c r="U21" s="5">
        <f t="shared" si="1"/>
        <v>3.0303030303030303</v>
      </c>
      <c r="V21" s="5">
        <f t="shared" si="2"/>
        <v>0</v>
      </c>
      <c r="W21" s="5">
        <f t="shared" si="3"/>
        <v>3.0303030303030303</v>
      </c>
      <c r="X21" s="5">
        <f t="shared" si="4"/>
        <v>36.363636363636367</v>
      </c>
      <c r="Y21" s="5">
        <f t="shared" si="5"/>
        <v>36.363636363636367</v>
      </c>
    </row>
    <row r="22" spans="1:25" x14ac:dyDescent="0.2">
      <c r="A22" s="9" t="s">
        <v>63</v>
      </c>
      <c r="B22" s="9" t="s">
        <v>101</v>
      </c>
      <c r="C22" s="9" t="s">
        <v>102</v>
      </c>
      <c r="D22" s="8">
        <v>42929</v>
      </c>
      <c r="E22" s="6">
        <v>17.120339999999999</v>
      </c>
      <c r="F22" s="6">
        <v>-61.709200000000003</v>
      </c>
      <c r="G22" s="9" t="s">
        <v>80</v>
      </c>
      <c r="H22" s="9" t="s">
        <v>64</v>
      </c>
      <c r="I22" s="9" t="s">
        <v>74</v>
      </c>
      <c r="J22" s="9" t="s">
        <v>75</v>
      </c>
      <c r="K22" s="5">
        <v>7.5</v>
      </c>
      <c r="L22" s="7">
        <v>2</v>
      </c>
      <c r="M22" s="12">
        <v>22</v>
      </c>
      <c r="N22" s="7">
        <v>0</v>
      </c>
      <c r="O22" s="7">
        <v>3</v>
      </c>
      <c r="P22" s="7">
        <v>1</v>
      </c>
      <c r="Q22" s="7">
        <v>2</v>
      </c>
      <c r="R22" s="7">
        <v>13</v>
      </c>
      <c r="S22" s="12">
        <v>15</v>
      </c>
      <c r="T22" s="5">
        <f t="shared" si="0"/>
        <v>0</v>
      </c>
      <c r="U22" s="5">
        <f t="shared" si="1"/>
        <v>13.636363636363637</v>
      </c>
      <c r="V22" s="5">
        <f t="shared" si="2"/>
        <v>4.5454545454545459</v>
      </c>
      <c r="W22" s="5">
        <f t="shared" si="3"/>
        <v>9.0909090909090917</v>
      </c>
      <c r="X22" s="5">
        <f t="shared" si="4"/>
        <v>59.090909090909093</v>
      </c>
      <c r="Y22" s="5">
        <f t="shared" si="5"/>
        <v>68.181818181818187</v>
      </c>
    </row>
    <row r="23" spans="1:25" x14ac:dyDescent="0.2">
      <c r="A23" s="9" t="s">
        <v>63</v>
      </c>
      <c r="B23" s="9" t="s">
        <v>103</v>
      </c>
      <c r="C23" s="9" t="s">
        <v>104</v>
      </c>
      <c r="D23" s="8">
        <v>42929</v>
      </c>
      <c r="E23" s="6">
        <v>17.13908</v>
      </c>
      <c r="F23" s="6">
        <v>-61.720869999999998</v>
      </c>
      <c r="G23" s="9" t="s">
        <v>105</v>
      </c>
      <c r="H23" s="9" t="s">
        <v>64</v>
      </c>
      <c r="I23" s="9" t="s">
        <v>74</v>
      </c>
      <c r="J23" s="9" t="s">
        <v>75</v>
      </c>
      <c r="K23" s="5">
        <v>4.0999999999999996</v>
      </c>
      <c r="L23" s="7">
        <v>2</v>
      </c>
      <c r="M23" s="12">
        <v>40</v>
      </c>
      <c r="N23" s="7">
        <v>0</v>
      </c>
      <c r="O23" s="7">
        <v>0</v>
      </c>
      <c r="P23" s="7">
        <v>0</v>
      </c>
      <c r="Q23" s="7">
        <v>0</v>
      </c>
      <c r="R23" s="7">
        <v>17</v>
      </c>
      <c r="S23" s="12">
        <v>17</v>
      </c>
      <c r="T23" s="5">
        <f t="shared" si="0"/>
        <v>0</v>
      </c>
      <c r="U23" s="5">
        <f t="shared" si="1"/>
        <v>0</v>
      </c>
      <c r="V23" s="5">
        <f t="shared" si="2"/>
        <v>0</v>
      </c>
      <c r="W23" s="5">
        <f t="shared" si="3"/>
        <v>0</v>
      </c>
      <c r="X23" s="5">
        <f t="shared" si="4"/>
        <v>42.5</v>
      </c>
      <c r="Y23" s="5">
        <f t="shared" si="5"/>
        <v>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2025-09-23T17:32:10Z</dcterms:created>
  <dcterms:modified xsi:type="dcterms:W3CDTF">2025-09-23T17:32:11Z</dcterms:modified>
</cp:coreProperties>
</file>