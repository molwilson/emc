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10cm\"/>
    </mc:Choice>
  </mc:AlternateContent>
  <xr:revisionPtr revIDLastSave="0" documentId="8_{F822A147-158A-4B7A-9486-2682977E77B4}" xr6:coauthVersionLast="47" xr6:coauthVersionMax="47" xr10:uidLastSave="{00000000-0000-0000-0000-000000000000}"/>
  <bookViews>
    <workbookView xWindow="-990" yWindow="-16920" windowWidth="28800" windowHeight="15435" xr2:uid="{D5194B20-255A-4033-9C04-0A8D32FDBF1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2" i="2"/>
  <c r="Q3" i="2"/>
  <c r="Q4" i="2"/>
  <c r="Q5" i="2"/>
  <c r="Q6" i="2"/>
  <c r="Q7" i="2"/>
  <c r="Q2" i="2"/>
  <c r="P3" i="2"/>
  <c r="P4" i="2"/>
  <c r="P5" i="2"/>
  <c r="P6" i="2"/>
  <c r="P7" i="2"/>
  <c r="P2" i="2"/>
  <c r="O3" i="2"/>
  <c r="O4" i="2"/>
  <c r="O5" i="2"/>
  <c r="O6" i="2"/>
  <c r="O7" i="2"/>
  <c r="O2" i="2"/>
  <c r="N3" i="2"/>
  <c r="N4" i="2"/>
  <c r="N5" i="2"/>
  <c r="N6" i="2"/>
  <c r="N7" i="2"/>
  <c r="N2" i="2"/>
  <c r="M3" i="2"/>
  <c r="M4" i="2"/>
  <c r="M5" i="2"/>
  <c r="M6" i="2"/>
  <c r="M7" i="2"/>
  <c r="M2" i="2"/>
</calcChain>
</file>

<file path=xl/sharedStrings.xml><?xml version="1.0" encoding="utf-8"?>
<sst xmlns="http://schemas.openxmlformats.org/spreadsheetml/2006/main" count="77" uniqueCount="52">
  <si>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</si>
  <si>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</si>
  <si>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</si>
  <si>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</si>
  <si>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</si>
  <si>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</si>
  <si>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</si>
  <si>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</si>
  <si>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</si>
  <si>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</si>
  <si>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</si>
  <si>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</si>
  <si>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</si>
  <si>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</si>
  <si>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</si>
  <si>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</si>
  <si>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</si>
  <si>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</si>
  <si>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</si>
  <si>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</si>
  <si>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</si>
  <si>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</si>
  <si>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</si>
  <si>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</si>
  <si>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</si>
  <si>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</si>
  <si>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</si>
  <si>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</si>
  <si>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</si>
  <si>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</si>
  <si>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</si>
  <si>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</si>
  <si>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</si>
  <si>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</si>
  <si>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</si>
  <si>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</si>
  <si>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</si>
  <si>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</si>
  <si>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</si>
  <si>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</si>
  <si>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</si>
  <si>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</si>
  <si>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</si>
  <si>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</si>
  <si>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</si>
  <si>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Eastern Caribbean</t>
  </si>
  <si>
    <t>Back</t>
  </si>
  <si>
    <t>Crest</t>
  </si>
  <si>
    <t>Fore</t>
  </si>
  <si>
    <t>Intertidal Crest:Back</t>
  </si>
  <si>
    <t>Patch</t>
  </si>
  <si>
    <t>Subtidal 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</si>
</sst>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C3B7-319D-45AF-8403-6C11DF0C3423}">
  <dimension ref="A1:B25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2" spans="1:2" x14ac:dyDescent="0.2">
      <c r="A22" s="4" t="s">
        <v>40</v>
      </c>
      <c r="B22" s="1" t="s">
        <v>41</v>
      </c>
    </row>
    <row r="23" spans="1:2" x14ac:dyDescent="0.2">
      <c r="A23" s="1" t="s">
        <v>42</v>
      </c>
      <c r="B23" s="1" t="s">
        <v>43</v>
      </c>
    </row>
    <row r="24" spans="1:2" x14ac:dyDescent="0.2">
      <c r="A24" s="1" t="s">
        <v>42</v>
      </c>
      <c r="B24" s="1" t="s">
        <v>44</v>
      </c>
    </row>
    <row r="25" spans="1:2" x14ac:dyDescent="0.2">
      <c r="A25" s="1" t="s">
        <v>1</v>
      </c>
      <c r="B2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2457-CA73-4356-A958-68B139A55A1C}">
  <dimension ref="A1:R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6" width="5.7109375" style="5" customWidth="1"/>
    <col min="7" max="12" width="6.7109375" style="5" customWidth="1"/>
    <col min="13" max="18" width="6.7109375" style="6" customWidth="1"/>
  </cols>
  <sheetData>
    <row r="1" spans="1:1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9" t="s">
        <v>26</v>
      </c>
      <c r="M1" s="8" t="s">
        <v>28</v>
      </c>
      <c r="N1" s="3" t="s">
        <v>30</v>
      </c>
      <c r="O1" s="3" t="s">
        <v>32</v>
      </c>
      <c r="P1" s="3" t="s">
        <v>34</v>
      </c>
      <c r="Q1" s="3" t="s">
        <v>36</v>
      </c>
      <c r="R1" s="3" t="s">
        <v>38</v>
      </c>
    </row>
    <row r="2" spans="1:18" x14ac:dyDescent="0.2">
      <c r="A2" s="7" t="s">
        <v>45</v>
      </c>
      <c r="B2" s="7" t="s">
        <v>46</v>
      </c>
      <c r="C2" s="6">
        <v>4.5</v>
      </c>
      <c r="D2" s="5">
        <v>3</v>
      </c>
      <c r="E2" s="5">
        <v>14</v>
      </c>
      <c r="F2" s="10">
        <v>166</v>
      </c>
      <c r="G2" s="5">
        <v>0</v>
      </c>
      <c r="H2" s="5">
        <v>4</v>
      </c>
      <c r="I2" s="5">
        <v>0</v>
      </c>
      <c r="J2" s="5">
        <v>0</v>
      </c>
      <c r="K2" s="5">
        <v>113</v>
      </c>
      <c r="L2" s="10">
        <v>113</v>
      </c>
      <c r="M2" s="6">
        <f>IF($F2&gt;0,100*G2/$F2," ")</f>
        <v>0</v>
      </c>
      <c r="N2" s="6">
        <f>IF($F2&gt;0,100*H2/$F2," ")</f>
        <v>2.4096385542168677</v>
      </c>
      <c r="O2" s="6">
        <f>IF($F2&gt;0,100*I2/$F2," ")</f>
        <v>0</v>
      </c>
      <c r="P2" s="6">
        <f>IF($F2&gt;0,100*J2/$F2," ")</f>
        <v>0</v>
      </c>
      <c r="Q2" s="6">
        <f>IF($F2&gt;0,100*K2/$F2," ")</f>
        <v>68.07228915662651</v>
      </c>
      <c r="R2" s="6">
        <f>IF($F2&gt;0,100*L2/$F2," ")</f>
        <v>68.07228915662651</v>
      </c>
    </row>
    <row r="3" spans="1:18" x14ac:dyDescent="0.2">
      <c r="A3" s="7" t="s">
        <v>45</v>
      </c>
      <c r="B3" s="7" t="s">
        <v>47</v>
      </c>
      <c r="C3" s="6">
        <v>3.6</v>
      </c>
      <c r="D3" s="5">
        <v>2</v>
      </c>
      <c r="E3" s="5">
        <v>12</v>
      </c>
      <c r="F3" s="10">
        <v>85</v>
      </c>
      <c r="G3" s="5">
        <v>3</v>
      </c>
      <c r="H3" s="5">
        <v>6</v>
      </c>
      <c r="I3" s="5">
        <v>0</v>
      </c>
      <c r="J3" s="5">
        <v>0</v>
      </c>
      <c r="K3" s="5">
        <v>48</v>
      </c>
      <c r="L3" s="10">
        <v>48</v>
      </c>
      <c r="M3" s="6">
        <f t="shared" ref="M3:M7" si="0">IF($F3&gt;0,100*G3/$F3," ")</f>
        <v>3.5294117647058822</v>
      </c>
      <c r="N3" s="6">
        <f t="shared" ref="N3:N7" si="1">IF($F3&gt;0,100*H3/$F3," ")</f>
        <v>7.0588235294117645</v>
      </c>
      <c r="O3" s="6">
        <f t="shared" ref="O3:O7" si="2">IF($F3&gt;0,100*I3/$F3," ")</f>
        <v>0</v>
      </c>
      <c r="P3" s="6">
        <f t="shared" ref="P3:P7" si="3">IF($F3&gt;0,100*J3/$F3," ")</f>
        <v>0</v>
      </c>
      <c r="Q3" s="6">
        <f t="shared" ref="Q3:Q7" si="4">IF($F3&gt;0,100*K3/$F3," ")</f>
        <v>56.470588235294116</v>
      </c>
      <c r="R3" s="6">
        <f t="shared" ref="R3:R7" si="5">IF($F3&gt;0,100*L3/$F3," ")</f>
        <v>56.470588235294116</v>
      </c>
    </row>
    <row r="4" spans="1:18" x14ac:dyDescent="0.2">
      <c r="A4" s="7" t="s">
        <v>45</v>
      </c>
      <c r="B4" s="7" t="s">
        <v>48</v>
      </c>
      <c r="C4" s="6">
        <v>9.1999999999999993</v>
      </c>
      <c r="D4" s="5">
        <v>12</v>
      </c>
      <c r="E4" s="5">
        <v>57</v>
      </c>
      <c r="F4" s="10">
        <v>661</v>
      </c>
      <c r="G4" s="5">
        <v>3</v>
      </c>
      <c r="H4" s="5">
        <v>39</v>
      </c>
      <c r="I4" s="5">
        <v>1</v>
      </c>
      <c r="J4" s="5">
        <v>4</v>
      </c>
      <c r="K4" s="5">
        <v>383</v>
      </c>
      <c r="L4" s="10">
        <v>386</v>
      </c>
      <c r="M4" s="6">
        <f t="shared" si="0"/>
        <v>0.45385779122541603</v>
      </c>
      <c r="N4" s="6">
        <f t="shared" si="1"/>
        <v>5.9001512859304084</v>
      </c>
      <c r="O4" s="6">
        <f t="shared" si="2"/>
        <v>0.15128593040847202</v>
      </c>
      <c r="P4" s="6">
        <f t="shared" si="3"/>
        <v>0.60514372163388808</v>
      </c>
      <c r="Q4" s="6">
        <f t="shared" si="4"/>
        <v>57.942511346444782</v>
      </c>
      <c r="R4" s="6">
        <f t="shared" si="5"/>
        <v>58.396369137670199</v>
      </c>
    </row>
    <row r="5" spans="1:18" x14ac:dyDescent="0.2">
      <c r="A5" s="7" t="s">
        <v>45</v>
      </c>
      <c r="B5" s="7" t="s">
        <v>49</v>
      </c>
      <c r="C5" s="6">
        <v>2.1</v>
      </c>
      <c r="D5" s="5">
        <v>2</v>
      </c>
      <c r="E5" s="5">
        <v>4</v>
      </c>
      <c r="F5" s="10">
        <v>65</v>
      </c>
      <c r="G5" s="5">
        <v>0</v>
      </c>
      <c r="H5" s="5">
        <v>2</v>
      </c>
      <c r="I5" s="5">
        <v>0</v>
      </c>
      <c r="J5" s="5">
        <v>2</v>
      </c>
      <c r="K5" s="5">
        <v>30</v>
      </c>
      <c r="L5" s="10">
        <v>30</v>
      </c>
      <c r="M5" s="6">
        <f t="shared" si="0"/>
        <v>0</v>
      </c>
      <c r="N5" s="6">
        <f t="shared" si="1"/>
        <v>3.0769230769230771</v>
      </c>
      <c r="O5" s="6">
        <f t="shared" si="2"/>
        <v>0</v>
      </c>
      <c r="P5" s="6">
        <f t="shared" si="3"/>
        <v>3.0769230769230771</v>
      </c>
      <c r="Q5" s="6">
        <f t="shared" si="4"/>
        <v>46.153846153846153</v>
      </c>
      <c r="R5" s="6">
        <f t="shared" si="5"/>
        <v>46.153846153846153</v>
      </c>
    </row>
    <row r="6" spans="1:18" x14ac:dyDescent="0.2">
      <c r="A6" s="7" t="s">
        <v>45</v>
      </c>
      <c r="B6" s="7" t="s">
        <v>50</v>
      </c>
      <c r="C6" s="6">
        <v>3.4</v>
      </c>
      <c r="D6" s="5">
        <v>2</v>
      </c>
      <c r="E6" s="5">
        <v>12</v>
      </c>
      <c r="F6" s="10">
        <v>141</v>
      </c>
      <c r="G6" s="5">
        <v>6</v>
      </c>
      <c r="H6" s="5">
        <v>16</v>
      </c>
      <c r="I6" s="5">
        <v>0</v>
      </c>
      <c r="J6" s="5">
        <v>0</v>
      </c>
      <c r="K6" s="5">
        <v>94</v>
      </c>
      <c r="L6" s="10">
        <v>94</v>
      </c>
      <c r="M6" s="6">
        <f t="shared" si="0"/>
        <v>4.2553191489361701</v>
      </c>
      <c r="N6" s="6">
        <f t="shared" si="1"/>
        <v>11.347517730496454</v>
      </c>
      <c r="O6" s="6">
        <f t="shared" si="2"/>
        <v>0</v>
      </c>
      <c r="P6" s="6">
        <f t="shared" si="3"/>
        <v>0</v>
      </c>
      <c r="Q6" s="6">
        <f t="shared" si="4"/>
        <v>66.666666666666671</v>
      </c>
      <c r="R6" s="6">
        <f t="shared" si="5"/>
        <v>66.666666666666671</v>
      </c>
    </row>
    <row r="7" spans="1:18" x14ac:dyDescent="0.2">
      <c r="A7" s="7" t="s">
        <v>45</v>
      </c>
      <c r="B7" s="7" t="s">
        <v>51</v>
      </c>
      <c r="C7" s="6">
        <v>4.0999999999999996</v>
      </c>
      <c r="D7" s="5">
        <v>1</v>
      </c>
      <c r="E7" s="5">
        <v>2</v>
      </c>
      <c r="F7" s="10">
        <v>40</v>
      </c>
      <c r="G7" s="5">
        <v>0</v>
      </c>
      <c r="H7" s="5">
        <v>0</v>
      </c>
      <c r="I7" s="5">
        <v>0</v>
      </c>
      <c r="J7" s="5">
        <v>0</v>
      </c>
      <c r="K7" s="5">
        <v>17</v>
      </c>
      <c r="L7" s="10">
        <v>17</v>
      </c>
      <c r="M7" s="6">
        <f t="shared" si="0"/>
        <v>0</v>
      </c>
      <c r="N7" s="6">
        <f t="shared" si="1"/>
        <v>0</v>
      </c>
      <c r="O7" s="6">
        <f t="shared" si="2"/>
        <v>0</v>
      </c>
      <c r="P7" s="6">
        <f t="shared" si="3"/>
        <v>0</v>
      </c>
      <c r="Q7" s="6">
        <f t="shared" si="4"/>
        <v>42.5</v>
      </c>
      <c r="R7" s="6">
        <f t="shared" si="5"/>
        <v>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2025-09-23T17:32:14Z</dcterms:created>
  <dcterms:modified xsi:type="dcterms:W3CDTF">2025-09-23T17:32:14Z</dcterms:modified>
</cp:coreProperties>
</file>