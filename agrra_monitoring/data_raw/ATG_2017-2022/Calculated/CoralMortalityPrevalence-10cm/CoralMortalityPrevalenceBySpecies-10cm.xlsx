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10cm\"/>
    </mc:Choice>
  </mc:AlternateContent>
  <xr:revisionPtr revIDLastSave="0" documentId="8_{76225473-32B3-444A-A7D2-C54107EAD6DB}" xr6:coauthVersionLast="47" xr6:coauthVersionMax="47" xr10:uidLastSave="{00000000-0000-0000-0000-000000000000}"/>
  <bookViews>
    <workbookView xWindow="-990" yWindow="-16920" windowWidth="28800" windowHeight="15435" xr2:uid="{D500B9BC-69D4-4449-93E2-CEBCE12637B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2" l="1"/>
  <c r="K32" i="2"/>
  <c r="L32" i="2"/>
  <c r="M32" i="2"/>
  <c r="N32" i="2"/>
  <c r="I32" i="2"/>
  <c r="C32" i="2"/>
  <c r="D32" i="2"/>
  <c r="E32" i="2"/>
  <c r="F32" i="2"/>
  <c r="G32" i="2"/>
  <c r="H32" i="2"/>
  <c r="B3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</calcChain>
</file>

<file path=xl/sharedStrings.xml><?xml version="1.0" encoding="utf-8"?>
<sst xmlns="http://schemas.openxmlformats.org/spreadsheetml/2006/main" count="84" uniqueCount="68">
  <si>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</si>
  <si>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</si>
  <si>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</si>
  <si>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</si>
  <si>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</si>
  <si>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</si>
  <si>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</si>
  <si>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</si>
  <si>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</si>
  <si>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</si>
  <si>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</si>
  <si>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</si>
  <si>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</si>
  <si>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</si>
  <si>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</si>
  <si>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</si>
  <si>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</si>
  <si>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</si>
  <si>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</si>
  <si>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</si>
  <si>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</si>
  <si>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</si>
  <si>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</si>
  <si>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</si>
  <si>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</si>
  <si>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</si>
  <si>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</si>
  <si>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</si>
  <si>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</si>
  <si>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</si>
  <si>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</si>
  <si>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</si>
  <si>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</si>
  <si>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</si>
  <si>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</si>
  <si>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</si>
  <si>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</si>
  <si>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Acropora cervicornis</t>
  </si>
  <si>
    <t>Acropora palmata</t>
  </si>
  <si>
    <t>Acropora prolifera</t>
  </si>
  <si>
    <t>Agaricia agaricites</t>
  </si>
  <si>
    <t>Agaricia fragilis</t>
  </si>
  <si>
    <t>Agaricia lamarcki</t>
  </si>
  <si>
    <t>Colpophyllia natans</t>
  </si>
  <si>
    <t>Dendrogyra cylindrus</t>
  </si>
  <si>
    <t>Dichocoenia stokesii</t>
  </si>
  <si>
    <t>Diploria labyrinthiformis</t>
  </si>
  <si>
    <t>Isophyllia rigida</t>
  </si>
  <si>
    <t>Meandrina meandrites</t>
  </si>
  <si>
    <t>Millepora alcicornis</t>
  </si>
  <si>
    <t>Millepora complanata</t>
  </si>
  <si>
    <t>Millepora sp.</t>
  </si>
  <si>
    <t>Millepora squarosa</t>
  </si>
  <si>
    <t>Millepora striata</t>
  </si>
  <si>
    <t>Montastraea cavernosa</t>
  </si>
  <si>
    <t>Mycetophyllia lamarckiana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</si>
  <si>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</si>
  <si>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</si>
  <si>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</si>
  <si>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</si>
  <si>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</si>
  <si>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</si>
  <si>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</si>
  <si>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</si>
  <si>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</si>
  <si>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</si>
  <si>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Stephanocoenia intersepta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</si>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</sst>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  <xf numFmtId="49" fontId="3" fillId="3" borderId="3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165" fontId="0" fillId="0" borderId="5" xfId="0" applyNumberFormat="1" applyBorder="1"/>
    <xf numFmtId="165" fontId="1" fillId="0" borderId="6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AC5D-3BFD-4CCC-BC43-2744919E51DA}">
  <dimension ref="A1:B21"/>
  <sheetViews>
    <sheetView tabSelected="1" workbookViewId="0">
      <selection sqref="A1:B1"/>
    </sheetView>
  </sheetViews>
  <sheetFormatPr defaultRowHeight="12.75" x14ac:dyDescent="0.2"/>
  <cols>
    <col min="1" max="1" width="8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8" spans="1:2" x14ac:dyDescent="0.2">
      <c r="A18" s="4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34</v>
      </c>
      <c r="B20" s="1" t="s">
        <v>36</v>
      </c>
    </row>
    <row r="21" spans="1:2" x14ac:dyDescent="0.2">
      <c r="A21" s="1" t="s">
        <v>1</v>
      </c>
      <c r="B21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E258-DDAB-4CBE-90D5-EC12FDE3791F}">
  <dimension ref="A1:N32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7" customWidth="1"/>
    <col min="2" max="2" width="7.7109375" style="6" customWidth="1"/>
    <col min="3" max="8" width="6.7109375" style="6" customWidth="1"/>
    <col min="9" max="14" width="6.7109375" style="5" customWidth="1"/>
  </cols>
  <sheetData>
    <row r="1" spans="1:14" x14ac:dyDescent="0.2">
      <c r="A1" s="3" t="s">
        <v>4</v>
      </c>
      <c r="B1" s="13" t="s">
        <v>6</v>
      </c>
      <c r="C1" s="12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13" t="s">
        <v>18</v>
      </c>
      <c r="I1" s="12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</row>
    <row r="2" spans="1:14" x14ac:dyDescent="0.2">
      <c r="A2" s="7" t="s">
        <v>37</v>
      </c>
      <c r="B2" s="14">
        <v>90</v>
      </c>
      <c r="D2" s="6">
        <v>22</v>
      </c>
      <c r="G2" s="6">
        <v>73</v>
      </c>
      <c r="H2" s="14">
        <v>73</v>
      </c>
      <c r="I2" s="5">
        <f>IF($B2&gt;0,100*C2/$B2," ")</f>
        <v>0</v>
      </c>
      <c r="J2" s="5">
        <f>IF($B2&gt;0,100*D2/$B2," ")</f>
        <v>24.444444444444443</v>
      </c>
      <c r="K2" s="5">
        <f>IF($B2&gt;0,100*E2/$B2," ")</f>
        <v>0</v>
      </c>
      <c r="L2" s="5">
        <f>IF($B2&gt;0,100*F2/$B2," ")</f>
        <v>0</v>
      </c>
      <c r="M2" s="5">
        <f>IF($B2&gt;0,100*G2/$B2," ")</f>
        <v>81.111111111111114</v>
      </c>
      <c r="N2" s="5">
        <f>IF($B2&gt;0,100*H2/$B2," ")</f>
        <v>81.111111111111114</v>
      </c>
    </row>
    <row r="3" spans="1:14" x14ac:dyDescent="0.2">
      <c r="A3" s="7" t="s">
        <v>38</v>
      </c>
      <c r="B3" s="14">
        <v>62</v>
      </c>
      <c r="C3" s="6">
        <v>11</v>
      </c>
      <c r="D3" s="6">
        <v>4</v>
      </c>
      <c r="G3" s="6">
        <v>40</v>
      </c>
      <c r="H3" s="14">
        <v>40</v>
      </c>
      <c r="I3" s="5">
        <f t="shared" ref="I3:I31" si="0">IF($B3&gt;0,100*C3/$B3," ")</f>
        <v>17.741935483870968</v>
      </c>
      <c r="J3" s="5">
        <f t="shared" ref="J3:J31" si="1">IF($B3&gt;0,100*D3/$B3," ")</f>
        <v>6.4516129032258061</v>
      </c>
      <c r="K3" s="5">
        <f t="shared" ref="K3:K31" si="2">IF($B3&gt;0,100*E3/$B3," ")</f>
        <v>0</v>
      </c>
      <c r="L3" s="5">
        <f t="shared" ref="L3:L31" si="3">IF($B3&gt;0,100*F3/$B3," ")</f>
        <v>0</v>
      </c>
      <c r="M3" s="5">
        <f t="shared" ref="M3:M31" si="4">IF($B3&gt;0,100*G3/$B3," ")</f>
        <v>64.516129032258064</v>
      </c>
      <c r="N3" s="5">
        <f t="shared" ref="N3:N31" si="5">IF($B3&gt;0,100*H3/$B3," ")</f>
        <v>64.516129032258064</v>
      </c>
    </row>
    <row r="4" spans="1:14" x14ac:dyDescent="0.2">
      <c r="A4" s="7" t="s">
        <v>39</v>
      </c>
      <c r="B4" s="14">
        <v>48</v>
      </c>
      <c r="D4" s="6">
        <v>7</v>
      </c>
      <c r="G4" s="6">
        <v>30</v>
      </c>
      <c r="H4" s="14">
        <v>30</v>
      </c>
      <c r="I4" s="5">
        <f t="shared" si="0"/>
        <v>0</v>
      </c>
      <c r="J4" s="5">
        <f t="shared" si="1"/>
        <v>14.583333333333334</v>
      </c>
      <c r="K4" s="5">
        <f t="shared" si="2"/>
        <v>0</v>
      </c>
      <c r="L4" s="5">
        <f t="shared" si="3"/>
        <v>0</v>
      </c>
      <c r="M4" s="5">
        <f t="shared" si="4"/>
        <v>62.5</v>
      </c>
      <c r="N4" s="5">
        <f t="shared" si="5"/>
        <v>62.5</v>
      </c>
    </row>
    <row r="5" spans="1:14" x14ac:dyDescent="0.2">
      <c r="A5" s="7" t="s">
        <v>40</v>
      </c>
      <c r="B5" s="14">
        <v>32</v>
      </c>
      <c r="D5" s="6">
        <v>1</v>
      </c>
      <c r="F5" s="6">
        <v>1</v>
      </c>
      <c r="G5" s="6">
        <v>15</v>
      </c>
      <c r="H5" s="14">
        <v>16</v>
      </c>
      <c r="I5" s="5">
        <f t="shared" si="0"/>
        <v>0</v>
      </c>
      <c r="J5" s="5">
        <f t="shared" si="1"/>
        <v>3.125</v>
      </c>
      <c r="K5" s="5">
        <f t="shared" si="2"/>
        <v>0</v>
      </c>
      <c r="L5" s="5">
        <f t="shared" si="3"/>
        <v>3.125</v>
      </c>
      <c r="M5" s="5">
        <f t="shared" si="4"/>
        <v>46.875</v>
      </c>
      <c r="N5" s="5">
        <f t="shared" si="5"/>
        <v>50</v>
      </c>
    </row>
    <row r="6" spans="1:14" x14ac:dyDescent="0.2">
      <c r="A6" s="7" t="s">
        <v>41</v>
      </c>
      <c r="B6" s="14">
        <v>1</v>
      </c>
      <c r="H6" s="14"/>
      <c r="I6" s="5">
        <f t="shared" si="0"/>
        <v>0</v>
      </c>
      <c r="J6" s="5">
        <f t="shared" si="1"/>
        <v>0</v>
      </c>
      <c r="K6" s="5">
        <f t="shared" si="2"/>
        <v>0</v>
      </c>
      <c r="L6" s="5">
        <f t="shared" si="3"/>
        <v>0</v>
      </c>
      <c r="M6" s="5">
        <f t="shared" si="4"/>
        <v>0</v>
      </c>
      <c r="N6" s="5">
        <f t="shared" si="5"/>
        <v>0</v>
      </c>
    </row>
    <row r="7" spans="1:14" x14ac:dyDescent="0.2">
      <c r="A7" s="7" t="s">
        <v>42</v>
      </c>
      <c r="B7" s="14">
        <v>1</v>
      </c>
      <c r="H7" s="14"/>
      <c r="I7" s="5">
        <f t="shared" si="0"/>
        <v>0</v>
      </c>
      <c r="J7" s="5">
        <f t="shared" si="1"/>
        <v>0</v>
      </c>
      <c r="K7" s="5">
        <f t="shared" si="2"/>
        <v>0</v>
      </c>
      <c r="L7" s="5">
        <f t="shared" si="3"/>
        <v>0</v>
      </c>
      <c r="M7" s="5">
        <f t="shared" si="4"/>
        <v>0</v>
      </c>
      <c r="N7" s="5">
        <f t="shared" si="5"/>
        <v>0</v>
      </c>
    </row>
    <row r="8" spans="1:14" x14ac:dyDescent="0.2">
      <c r="A8" s="7" t="s">
        <v>43</v>
      </c>
      <c r="B8" s="14">
        <v>9</v>
      </c>
      <c r="G8" s="6">
        <v>6</v>
      </c>
      <c r="H8" s="14">
        <v>6</v>
      </c>
      <c r="I8" s="5">
        <f t="shared" si="0"/>
        <v>0</v>
      </c>
      <c r="J8" s="5">
        <f t="shared" si="1"/>
        <v>0</v>
      </c>
      <c r="K8" s="5">
        <f t="shared" si="2"/>
        <v>0</v>
      </c>
      <c r="L8" s="5">
        <f t="shared" si="3"/>
        <v>0</v>
      </c>
      <c r="M8" s="5">
        <f t="shared" si="4"/>
        <v>66.666666666666671</v>
      </c>
      <c r="N8" s="5">
        <f t="shared" si="5"/>
        <v>66.666666666666671</v>
      </c>
    </row>
    <row r="9" spans="1:14" x14ac:dyDescent="0.2">
      <c r="A9" s="7" t="s">
        <v>44</v>
      </c>
      <c r="B9" s="14">
        <v>2</v>
      </c>
      <c r="G9" s="6">
        <v>1</v>
      </c>
      <c r="H9" s="14">
        <v>1</v>
      </c>
      <c r="I9" s="5">
        <f t="shared" si="0"/>
        <v>0</v>
      </c>
      <c r="J9" s="5">
        <f t="shared" si="1"/>
        <v>0</v>
      </c>
      <c r="K9" s="5">
        <f t="shared" si="2"/>
        <v>0</v>
      </c>
      <c r="L9" s="5">
        <f t="shared" si="3"/>
        <v>0</v>
      </c>
      <c r="M9" s="5">
        <f t="shared" si="4"/>
        <v>50</v>
      </c>
      <c r="N9" s="5">
        <f t="shared" si="5"/>
        <v>50</v>
      </c>
    </row>
    <row r="10" spans="1:14" x14ac:dyDescent="0.2">
      <c r="A10" s="7" t="s">
        <v>45</v>
      </c>
      <c r="B10" s="14">
        <v>1</v>
      </c>
      <c r="G10" s="6">
        <v>1</v>
      </c>
      <c r="H10" s="14">
        <v>1</v>
      </c>
      <c r="I10" s="5">
        <f t="shared" si="0"/>
        <v>0</v>
      </c>
      <c r="J10" s="5">
        <f t="shared" si="1"/>
        <v>0</v>
      </c>
      <c r="K10" s="5">
        <f t="shared" si="2"/>
        <v>0</v>
      </c>
      <c r="L10" s="5">
        <f t="shared" si="3"/>
        <v>0</v>
      </c>
      <c r="M10" s="5">
        <f t="shared" si="4"/>
        <v>100</v>
      </c>
      <c r="N10" s="5">
        <f t="shared" si="5"/>
        <v>100</v>
      </c>
    </row>
    <row r="11" spans="1:14" x14ac:dyDescent="0.2">
      <c r="A11" s="7" t="s">
        <v>46</v>
      </c>
      <c r="B11" s="14">
        <v>30</v>
      </c>
      <c r="D11" s="6">
        <v>1</v>
      </c>
      <c r="G11" s="6">
        <v>17</v>
      </c>
      <c r="H11" s="14">
        <v>17</v>
      </c>
      <c r="I11" s="5">
        <f t="shared" si="0"/>
        <v>0</v>
      </c>
      <c r="J11" s="5">
        <f t="shared" si="1"/>
        <v>3.3333333333333335</v>
      </c>
      <c r="K11" s="5">
        <f t="shared" si="2"/>
        <v>0</v>
      </c>
      <c r="L11" s="5">
        <f t="shared" si="3"/>
        <v>0</v>
      </c>
      <c r="M11" s="5">
        <f t="shared" si="4"/>
        <v>56.666666666666664</v>
      </c>
      <c r="N11" s="5">
        <f t="shared" si="5"/>
        <v>56.666666666666664</v>
      </c>
    </row>
    <row r="12" spans="1:14" x14ac:dyDescent="0.2">
      <c r="A12" s="7" t="s">
        <v>47</v>
      </c>
      <c r="B12" s="14">
        <v>1</v>
      </c>
      <c r="H12" s="14"/>
      <c r="I12" s="5">
        <f t="shared" si="0"/>
        <v>0</v>
      </c>
      <c r="J12" s="5">
        <f t="shared" si="1"/>
        <v>0</v>
      </c>
      <c r="K12" s="5">
        <f t="shared" si="2"/>
        <v>0</v>
      </c>
      <c r="L12" s="5">
        <f t="shared" si="3"/>
        <v>0</v>
      </c>
      <c r="M12" s="5">
        <f t="shared" si="4"/>
        <v>0</v>
      </c>
      <c r="N12" s="5">
        <f t="shared" si="5"/>
        <v>0</v>
      </c>
    </row>
    <row r="13" spans="1:14" x14ac:dyDescent="0.2">
      <c r="A13" s="7" t="s">
        <v>48</v>
      </c>
      <c r="B13" s="14">
        <v>1</v>
      </c>
      <c r="H13" s="14"/>
      <c r="I13" s="5">
        <f t="shared" si="0"/>
        <v>0</v>
      </c>
      <c r="J13" s="5">
        <f t="shared" si="1"/>
        <v>0</v>
      </c>
      <c r="K13" s="5">
        <f t="shared" si="2"/>
        <v>0</v>
      </c>
      <c r="L13" s="5">
        <f t="shared" si="3"/>
        <v>0</v>
      </c>
      <c r="M13" s="5">
        <f t="shared" si="4"/>
        <v>0</v>
      </c>
      <c r="N13" s="5">
        <f t="shared" si="5"/>
        <v>0</v>
      </c>
    </row>
    <row r="14" spans="1:14" x14ac:dyDescent="0.2">
      <c r="A14" s="7" t="s">
        <v>49</v>
      </c>
      <c r="B14" s="14">
        <v>83</v>
      </c>
      <c r="D14" s="6">
        <v>1</v>
      </c>
      <c r="G14" s="6">
        <v>14</v>
      </c>
      <c r="H14" s="14">
        <v>14</v>
      </c>
      <c r="I14" s="5">
        <f t="shared" si="0"/>
        <v>0</v>
      </c>
      <c r="J14" s="5">
        <f t="shared" si="1"/>
        <v>1.2048192771084338</v>
      </c>
      <c r="K14" s="5">
        <f t="shared" si="2"/>
        <v>0</v>
      </c>
      <c r="L14" s="5">
        <f t="shared" si="3"/>
        <v>0</v>
      </c>
      <c r="M14" s="5">
        <f t="shared" si="4"/>
        <v>16.867469879518072</v>
      </c>
      <c r="N14" s="5">
        <f t="shared" si="5"/>
        <v>16.867469879518072</v>
      </c>
    </row>
    <row r="15" spans="1:14" x14ac:dyDescent="0.2">
      <c r="A15" s="7" t="s">
        <v>50</v>
      </c>
      <c r="B15" s="14">
        <v>10</v>
      </c>
      <c r="G15" s="6">
        <v>2</v>
      </c>
      <c r="H15" s="14">
        <v>2</v>
      </c>
      <c r="I15" s="5">
        <f t="shared" si="0"/>
        <v>0</v>
      </c>
      <c r="J15" s="5">
        <f t="shared" si="1"/>
        <v>0</v>
      </c>
      <c r="K15" s="5">
        <f t="shared" si="2"/>
        <v>0</v>
      </c>
      <c r="L15" s="5">
        <f t="shared" si="3"/>
        <v>0</v>
      </c>
      <c r="M15" s="5">
        <f t="shared" si="4"/>
        <v>20</v>
      </c>
      <c r="N15" s="5">
        <f t="shared" si="5"/>
        <v>20</v>
      </c>
    </row>
    <row r="16" spans="1:14" x14ac:dyDescent="0.2">
      <c r="A16" s="7" t="s">
        <v>51</v>
      </c>
      <c r="B16" s="14">
        <v>1</v>
      </c>
      <c r="H16" s="14"/>
      <c r="I16" s="5">
        <f t="shared" si="0"/>
        <v>0</v>
      </c>
      <c r="J16" s="5">
        <f t="shared" si="1"/>
        <v>0</v>
      </c>
      <c r="K16" s="5">
        <f t="shared" si="2"/>
        <v>0</v>
      </c>
      <c r="L16" s="5">
        <f t="shared" si="3"/>
        <v>0</v>
      </c>
      <c r="M16" s="5">
        <f t="shared" si="4"/>
        <v>0</v>
      </c>
      <c r="N16" s="5">
        <f t="shared" si="5"/>
        <v>0</v>
      </c>
    </row>
    <row r="17" spans="1:14" x14ac:dyDescent="0.2">
      <c r="A17" s="7" t="s">
        <v>52</v>
      </c>
      <c r="B17" s="14">
        <v>1</v>
      </c>
      <c r="H17" s="14"/>
      <c r="I17" s="5">
        <f t="shared" si="0"/>
        <v>0</v>
      </c>
      <c r="J17" s="5">
        <f t="shared" si="1"/>
        <v>0</v>
      </c>
      <c r="K17" s="5">
        <f t="shared" si="2"/>
        <v>0</v>
      </c>
      <c r="L17" s="5">
        <f t="shared" si="3"/>
        <v>0</v>
      </c>
      <c r="M17" s="5">
        <f t="shared" si="4"/>
        <v>0</v>
      </c>
      <c r="N17" s="5">
        <f t="shared" si="5"/>
        <v>0</v>
      </c>
    </row>
    <row r="18" spans="1:14" x14ac:dyDescent="0.2">
      <c r="A18" s="7" t="s">
        <v>53</v>
      </c>
      <c r="B18" s="14">
        <v>1</v>
      </c>
      <c r="G18" s="6">
        <v>1</v>
      </c>
      <c r="H18" s="14">
        <v>1</v>
      </c>
      <c r="I18" s="5">
        <f t="shared" si="0"/>
        <v>0</v>
      </c>
      <c r="J18" s="5">
        <f t="shared" si="1"/>
        <v>0</v>
      </c>
      <c r="K18" s="5">
        <f t="shared" si="2"/>
        <v>0</v>
      </c>
      <c r="L18" s="5">
        <f t="shared" si="3"/>
        <v>0</v>
      </c>
      <c r="M18" s="5">
        <f t="shared" si="4"/>
        <v>100</v>
      </c>
      <c r="N18" s="5">
        <f t="shared" si="5"/>
        <v>100</v>
      </c>
    </row>
    <row r="19" spans="1:14" x14ac:dyDescent="0.2">
      <c r="A19" s="7" t="s">
        <v>54</v>
      </c>
      <c r="B19" s="14">
        <v>18</v>
      </c>
      <c r="G19" s="6">
        <v>13</v>
      </c>
      <c r="H19" s="14">
        <v>13</v>
      </c>
      <c r="I19" s="5">
        <f t="shared" si="0"/>
        <v>0</v>
      </c>
      <c r="J19" s="5">
        <f t="shared" si="1"/>
        <v>0</v>
      </c>
      <c r="K19" s="5">
        <f t="shared" si="2"/>
        <v>0</v>
      </c>
      <c r="L19" s="5">
        <f t="shared" si="3"/>
        <v>0</v>
      </c>
      <c r="M19" s="5">
        <f t="shared" si="4"/>
        <v>72.222222222222229</v>
      </c>
      <c r="N19" s="5">
        <f t="shared" si="5"/>
        <v>72.222222222222229</v>
      </c>
    </row>
    <row r="20" spans="1:14" x14ac:dyDescent="0.2">
      <c r="A20" s="7" t="s">
        <v>55</v>
      </c>
      <c r="B20" s="14">
        <v>2</v>
      </c>
      <c r="G20" s="6">
        <v>1</v>
      </c>
      <c r="H20" s="14">
        <v>1</v>
      </c>
      <c r="I20" s="5">
        <f t="shared" si="0"/>
        <v>0</v>
      </c>
      <c r="J20" s="5">
        <f t="shared" si="1"/>
        <v>0</v>
      </c>
      <c r="K20" s="5">
        <f t="shared" si="2"/>
        <v>0</v>
      </c>
      <c r="L20" s="5">
        <f t="shared" si="3"/>
        <v>0</v>
      </c>
      <c r="M20" s="5">
        <f t="shared" si="4"/>
        <v>50</v>
      </c>
      <c r="N20" s="5">
        <f t="shared" si="5"/>
        <v>50</v>
      </c>
    </row>
    <row r="21" spans="1:14" x14ac:dyDescent="0.2">
      <c r="A21" s="7" t="s">
        <v>56</v>
      </c>
      <c r="B21" s="14">
        <v>138</v>
      </c>
      <c r="D21" s="6">
        <v>5</v>
      </c>
      <c r="G21" s="6">
        <v>102</v>
      </c>
      <c r="H21" s="14">
        <v>102</v>
      </c>
      <c r="I21" s="5">
        <f t="shared" si="0"/>
        <v>0</v>
      </c>
      <c r="J21" s="5">
        <f t="shared" si="1"/>
        <v>3.6231884057971016</v>
      </c>
      <c r="K21" s="5">
        <f t="shared" si="2"/>
        <v>0</v>
      </c>
      <c r="L21" s="5">
        <f t="shared" si="3"/>
        <v>0</v>
      </c>
      <c r="M21" s="5">
        <f t="shared" si="4"/>
        <v>73.913043478260875</v>
      </c>
      <c r="N21" s="5">
        <f t="shared" si="5"/>
        <v>73.913043478260875</v>
      </c>
    </row>
    <row r="22" spans="1:14" x14ac:dyDescent="0.2">
      <c r="A22" s="7" t="s">
        <v>57</v>
      </c>
      <c r="B22" s="14">
        <v>131</v>
      </c>
      <c r="C22" s="6">
        <v>1</v>
      </c>
      <c r="D22" s="6">
        <v>8</v>
      </c>
      <c r="F22" s="6">
        <v>1</v>
      </c>
      <c r="G22" s="6">
        <v>96</v>
      </c>
      <c r="H22" s="14">
        <v>97</v>
      </c>
      <c r="I22" s="5">
        <f t="shared" si="0"/>
        <v>0.76335877862595425</v>
      </c>
      <c r="J22" s="5">
        <f t="shared" si="1"/>
        <v>6.106870229007634</v>
      </c>
      <c r="K22" s="5">
        <f t="shared" si="2"/>
        <v>0</v>
      </c>
      <c r="L22" s="5">
        <f t="shared" si="3"/>
        <v>0.76335877862595425</v>
      </c>
      <c r="M22" s="5">
        <f t="shared" si="4"/>
        <v>73.282442748091597</v>
      </c>
      <c r="N22" s="5">
        <f t="shared" si="5"/>
        <v>74.045801526717554</v>
      </c>
    </row>
    <row r="23" spans="1:14" x14ac:dyDescent="0.2">
      <c r="A23" s="7" t="s">
        <v>58</v>
      </c>
      <c r="B23" s="14">
        <v>63</v>
      </c>
      <c r="D23" s="6">
        <v>1</v>
      </c>
      <c r="G23" s="6">
        <v>36</v>
      </c>
      <c r="H23" s="14">
        <v>36</v>
      </c>
      <c r="I23" s="5">
        <f t="shared" si="0"/>
        <v>0</v>
      </c>
      <c r="J23" s="5">
        <f t="shared" si="1"/>
        <v>1.5873015873015872</v>
      </c>
      <c r="K23" s="5">
        <f t="shared" si="2"/>
        <v>0</v>
      </c>
      <c r="L23" s="5">
        <f t="shared" si="3"/>
        <v>0</v>
      </c>
      <c r="M23" s="5">
        <f t="shared" si="4"/>
        <v>57.142857142857146</v>
      </c>
      <c r="N23" s="5">
        <f t="shared" si="5"/>
        <v>57.142857142857146</v>
      </c>
    </row>
    <row r="24" spans="1:14" x14ac:dyDescent="0.2">
      <c r="A24" s="7" t="s">
        <v>59</v>
      </c>
      <c r="B24" s="14">
        <v>227</v>
      </c>
      <c r="D24" s="6">
        <v>14</v>
      </c>
      <c r="E24" s="6">
        <v>1</v>
      </c>
      <c r="F24" s="6">
        <v>4</v>
      </c>
      <c r="G24" s="6">
        <v>117</v>
      </c>
      <c r="H24" s="14">
        <v>118</v>
      </c>
      <c r="I24" s="5">
        <f t="shared" si="0"/>
        <v>0</v>
      </c>
      <c r="J24" s="5">
        <f t="shared" si="1"/>
        <v>6.1674008810572687</v>
      </c>
      <c r="K24" s="5">
        <f t="shared" si="2"/>
        <v>0.44052863436123346</v>
      </c>
      <c r="L24" s="5">
        <f t="shared" si="3"/>
        <v>1.7621145374449338</v>
      </c>
      <c r="M24" s="5">
        <f t="shared" si="4"/>
        <v>51.541850220264315</v>
      </c>
      <c r="N24" s="5">
        <f t="shared" si="5"/>
        <v>51.982378854625551</v>
      </c>
    </row>
    <row r="25" spans="1:14" x14ac:dyDescent="0.2">
      <c r="A25" s="7" t="s">
        <v>60</v>
      </c>
      <c r="B25" s="14">
        <v>14</v>
      </c>
      <c r="G25" s="6">
        <v>5</v>
      </c>
      <c r="H25" s="14">
        <v>5</v>
      </c>
      <c r="I25" s="5">
        <f t="shared" si="0"/>
        <v>0</v>
      </c>
      <c r="J25" s="5">
        <f t="shared" si="1"/>
        <v>0</v>
      </c>
      <c r="K25" s="5">
        <f t="shared" si="2"/>
        <v>0</v>
      </c>
      <c r="L25" s="5">
        <f t="shared" si="3"/>
        <v>0</v>
      </c>
      <c r="M25" s="5">
        <f t="shared" si="4"/>
        <v>35.714285714285715</v>
      </c>
      <c r="N25" s="5">
        <f t="shared" si="5"/>
        <v>35.714285714285715</v>
      </c>
    </row>
    <row r="26" spans="1:14" x14ac:dyDescent="0.2">
      <c r="A26" s="7" t="s">
        <v>61</v>
      </c>
      <c r="B26" s="14">
        <v>4</v>
      </c>
      <c r="G26" s="6">
        <v>2</v>
      </c>
      <c r="H26" s="14">
        <v>2</v>
      </c>
      <c r="I26" s="5">
        <f t="shared" si="0"/>
        <v>0</v>
      </c>
      <c r="J26" s="5">
        <f t="shared" si="1"/>
        <v>0</v>
      </c>
      <c r="K26" s="5">
        <f t="shared" si="2"/>
        <v>0</v>
      </c>
      <c r="L26" s="5">
        <f t="shared" si="3"/>
        <v>0</v>
      </c>
      <c r="M26" s="5">
        <f t="shared" si="4"/>
        <v>50</v>
      </c>
      <c r="N26" s="5">
        <f t="shared" si="5"/>
        <v>50</v>
      </c>
    </row>
    <row r="27" spans="1:14" x14ac:dyDescent="0.2">
      <c r="A27" s="7" t="s">
        <v>62</v>
      </c>
      <c r="B27" s="14">
        <v>62</v>
      </c>
      <c r="D27" s="6">
        <v>3</v>
      </c>
      <c r="G27" s="6">
        <v>38</v>
      </c>
      <c r="H27" s="14">
        <v>38</v>
      </c>
      <c r="I27" s="5">
        <f t="shared" si="0"/>
        <v>0</v>
      </c>
      <c r="J27" s="5">
        <f t="shared" si="1"/>
        <v>4.838709677419355</v>
      </c>
      <c r="K27" s="5">
        <f t="shared" si="2"/>
        <v>0</v>
      </c>
      <c r="L27" s="5">
        <f t="shared" si="3"/>
        <v>0</v>
      </c>
      <c r="M27" s="5">
        <f t="shared" si="4"/>
        <v>61.29032258064516</v>
      </c>
      <c r="N27" s="5">
        <f t="shared" si="5"/>
        <v>61.29032258064516</v>
      </c>
    </row>
    <row r="28" spans="1:14" x14ac:dyDescent="0.2">
      <c r="A28" s="7" t="s">
        <v>63</v>
      </c>
      <c r="B28" s="14">
        <v>13</v>
      </c>
      <c r="G28" s="6">
        <v>5</v>
      </c>
      <c r="H28" s="14">
        <v>5</v>
      </c>
      <c r="I28" s="5">
        <f t="shared" si="0"/>
        <v>0</v>
      </c>
      <c r="J28" s="5">
        <f t="shared" si="1"/>
        <v>0</v>
      </c>
      <c r="K28" s="5">
        <f t="shared" si="2"/>
        <v>0</v>
      </c>
      <c r="L28" s="5">
        <f t="shared" si="3"/>
        <v>0</v>
      </c>
      <c r="M28" s="5">
        <f t="shared" si="4"/>
        <v>38.46153846153846</v>
      </c>
      <c r="N28" s="5">
        <f t="shared" si="5"/>
        <v>38.46153846153846</v>
      </c>
    </row>
    <row r="29" spans="1:14" x14ac:dyDescent="0.2">
      <c r="A29" s="7" t="s">
        <v>64</v>
      </c>
      <c r="B29" s="14">
        <v>86</v>
      </c>
      <c r="G29" s="6">
        <v>50</v>
      </c>
      <c r="H29" s="14">
        <v>50</v>
      </c>
      <c r="I29" s="5">
        <f t="shared" si="0"/>
        <v>0</v>
      </c>
      <c r="J29" s="5">
        <f t="shared" si="1"/>
        <v>0</v>
      </c>
      <c r="K29" s="5">
        <f t="shared" si="2"/>
        <v>0</v>
      </c>
      <c r="L29" s="5">
        <f t="shared" si="3"/>
        <v>0</v>
      </c>
      <c r="M29" s="5">
        <f t="shared" si="4"/>
        <v>58.139534883720927</v>
      </c>
      <c r="N29" s="5">
        <f t="shared" si="5"/>
        <v>58.139534883720927</v>
      </c>
    </row>
    <row r="30" spans="1:14" x14ac:dyDescent="0.2">
      <c r="A30" s="7" t="s">
        <v>65</v>
      </c>
      <c r="B30" s="14">
        <v>20</v>
      </c>
      <c r="G30" s="6">
        <v>16</v>
      </c>
      <c r="H30" s="14">
        <v>16</v>
      </c>
      <c r="I30" s="5">
        <f t="shared" si="0"/>
        <v>0</v>
      </c>
      <c r="J30" s="5">
        <f t="shared" si="1"/>
        <v>0</v>
      </c>
      <c r="K30" s="5">
        <f t="shared" si="2"/>
        <v>0</v>
      </c>
      <c r="L30" s="5">
        <f t="shared" si="3"/>
        <v>0</v>
      </c>
      <c r="M30" s="5">
        <f t="shared" si="4"/>
        <v>80</v>
      </c>
      <c r="N30" s="5">
        <f t="shared" si="5"/>
        <v>80</v>
      </c>
    </row>
    <row r="31" spans="1:14" ht="13.5" thickBot="1" x14ac:dyDescent="0.25">
      <c r="A31" s="7" t="s">
        <v>66</v>
      </c>
      <c r="B31" s="14">
        <v>6</v>
      </c>
      <c r="G31" s="6">
        <v>4</v>
      </c>
      <c r="H31" s="14">
        <v>4</v>
      </c>
      <c r="I31" s="5">
        <f t="shared" si="0"/>
        <v>0</v>
      </c>
      <c r="J31" s="5">
        <f t="shared" si="1"/>
        <v>0</v>
      </c>
      <c r="K31" s="5">
        <f t="shared" si="2"/>
        <v>0</v>
      </c>
      <c r="L31" s="5">
        <f t="shared" si="3"/>
        <v>0</v>
      </c>
      <c r="M31" s="5">
        <f t="shared" si="4"/>
        <v>66.666666666666671</v>
      </c>
      <c r="N31" s="5">
        <f t="shared" si="5"/>
        <v>66.666666666666671</v>
      </c>
    </row>
    <row r="32" spans="1:14" s="8" customFormat="1" x14ac:dyDescent="0.2">
      <c r="A32" s="9" t="s">
        <v>67</v>
      </c>
      <c r="B32" s="15">
        <f>SUM(B2:B31)</f>
        <v>1158</v>
      </c>
      <c r="C32" s="10">
        <f t="shared" ref="C32:H32" si="6">SUM(C2:C31)</f>
        <v>12</v>
      </c>
      <c r="D32" s="10">
        <f t="shared" si="6"/>
        <v>67</v>
      </c>
      <c r="E32" s="10">
        <f t="shared" si="6"/>
        <v>1</v>
      </c>
      <c r="F32" s="10">
        <f t="shared" si="6"/>
        <v>6</v>
      </c>
      <c r="G32" s="10">
        <f t="shared" si="6"/>
        <v>685</v>
      </c>
      <c r="H32" s="15">
        <f t="shared" si="6"/>
        <v>688</v>
      </c>
      <c r="I32" s="11">
        <f>AVERAGE(I2:I31)</f>
        <v>0.61684314208323066</v>
      </c>
      <c r="J32" s="11">
        <f t="shared" ref="J32:N32" si="7">AVERAGE(J2:J31)</f>
        <v>2.5155338024009439</v>
      </c>
      <c r="K32" s="11">
        <f t="shared" si="7"/>
        <v>1.4684287812041116E-2</v>
      </c>
      <c r="L32" s="11">
        <f t="shared" si="7"/>
        <v>0.18834911053569628</v>
      </c>
      <c r="M32" s="11">
        <f t="shared" si="7"/>
        <v>47.785926915825797</v>
      </c>
      <c r="N32" s="11">
        <f t="shared" si="7"/>
        <v>47.930223162925365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2025-09-23T17:32:16Z</dcterms:created>
  <dcterms:modified xsi:type="dcterms:W3CDTF">2025-09-23T17:32:17Z</dcterms:modified>
</cp:coreProperties>
</file>