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BF745FAB-D589-48FA-8ED6-A9055CC68CFB}" xr6:coauthVersionLast="47" xr6:coauthVersionMax="47" xr10:uidLastSave="{00000000-0000-0000-0000-000000000000}"/>
  <bookViews>
    <workbookView xWindow="-990" yWindow="-16920" windowWidth="28800" windowHeight="15435" xr2:uid="{1E4D17E3-374D-4FF0-BDDE-8DBB13345E8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2" l="1"/>
  <c r="P32" i="2"/>
  <c r="Q32" i="2"/>
  <c r="R32" i="2"/>
  <c r="S32" i="2"/>
  <c r="T32" i="2"/>
  <c r="U32" i="2"/>
  <c r="V32" i="2"/>
  <c r="W32" i="2"/>
  <c r="X32" i="2"/>
  <c r="N32" i="2"/>
  <c r="C32" i="2"/>
  <c r="D32" i="2"/>
  <c r="E32" i="2"/>
  <c r="F32" i="2"/>
  <c r="G32" i="2"/>
  <c r="H32" i="2"/>
  <c r="I32" i="2"/>
  <c r="J32" i="2"/>
  <c r="K32" i="2"/>
  <c r="L32" i="2"/>
  <c r="M32" i="2"/>
  <c r="B32" i="2"/>
</calcChain>
</file>

<file path=xl/sharedStrings.xml><?xml version="1.0" encoding="utf-8"?>
<sst xmlns="http://schemas.openxmlformats.org/spreadsheetml/2006/main" count="112" uniqueCount="87">
  <si>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</si>
  <si>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</si>
  <si>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</si>
  <si>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</si>
  <si>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</si>
  <si>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</si>
  <si>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</si>
  <si>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</si>
  <si>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</si>
  <si>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</si>
  <si>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</si>
  <si>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</si>
  <si>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</si>
  <si>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</si>
  <si>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</si>
  <si>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</si>
  <si>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</si>
  <si>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</si>
  <si>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</si>
  <si>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</si>
  <si>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</si>
  <si>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</si>
  <si>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</si>
  <si>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</si>
  <si>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</si>
  <si>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</si>
  <si>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</si>
  <si>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</si>
  <si>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</si>
  <si>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</si>
  <si>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</si>
  <si>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</si>
  <si>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</si>
  <si>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</si>
  <si>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</si>
  <si>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</si>
  <si>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</si>
  <si>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</si>
  <si>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</si>
  <si>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</si>
  <si>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</si>
  <si>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</si>
  <si>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</si>
  <si>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</si>
  <si>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</si>
  <si>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</si>
  <si>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</si>
  <si>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</si>
  <si>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</si>
  <si>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</si>
  <si>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</si>
  <si>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</si>
  <si>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</si>
  <si>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</si>
  <si>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</si>
  <si>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</si>
  <si>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Acropora cervicornis</t>
  </si>
  <si>
    <t>Acropora palmata</t>
  </si>
  <si>
    <t>Acropora prolifera</t>
  </si>
  <si>
    <t>Agaricia agaricites</t>
  </si>
  <si>
    <t>Agaricia fragilis</t>
  </si>
  <si>
    <t>Agaricia lamarcki</t>
  </si>
  <si>
    <t>Colpophyllia natans</t>
  </si>
  <si>
    <t>Dendrogyra cylindrus</t>
  </si>
  <si>
    <t>Dichocoenia stokesii</t>
  </si>
  <si>
    <t>Diploria labyrinthiformis</t>
  </si>
  <si>
    <t>Isophyllia rigida</t>
  </si>
  <si>
    <t>Meandrina meandrites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</si>
  <si>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</si>
  <si>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</si>
  <si>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</si>
  <si>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</si>
  <si>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</si>
  <si>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</si>
  <si>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Mycetophyllia lamarckiana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</si>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</sst>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4" fontId="0" fillId="0" borderId="5" xfId="0" applyNumberFormat="1" applyBorder="1"/>
    <xf numFmtId="164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7374-B2CA-49E1-B607-4DFC120426F7}">
  <dimension ref="A1:B30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9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ht="14.25" x14ac:dyDescent="0.2">
      <c r="A5" s="4" t="s">
        <v>8</v>
      </c>
      <c r="B5" s="1" t="s">
        <v>30</v>
      </c>
    </row>
    <row r="6" spans="1:2" ht="14.25" x14ac:dyDescent="0.2">
      <c r="A6" s="4" t="s">
        <v>9</v>
      </c>
      <c r="B6" s="1" t="s">
        <v>31</v>
      </c>
    </row>
    <row r="7" spans="1:2" ht="14.25" x14ac:dyDescent="0.2">
      <c r="A7" s="4" t="s">
        <v>10</v>
      </c>
      <c r="B7" s="1" t="s">
        <v>32</v>
      </c>
    </row>
    <row r="8" spans="1:2" ht="14.25" x14ac:dyDescent="0.2">
      <c r="A8" s="4" t="s">
        <v>11</v>
      </c>
      <c r="B8" s="1" t="s">
        <v>33</v>
      </c>
    </row>
    <row r="9" spans="1:2" ht="14.25" x14ac:dyDescent="0.2">
      <c r="A9" s="4" t="s">
        <v>12</v>
      </c>
      <c r="B9" s="1" t="s">
        <v>34</v>
      </c>
    </row>
    <row r="10" spans="1:2" ht="14.25" x14ac:dyDescent="0.2">
      <c r="A10" s="4" t="s">
        <v>13</v>
      </c>
      <c r="B10" s="1" t="s">
        <v>35</v>
      </c>
    </row>
    <row r="11" spans="1:2" ht="14.25" x14ac:dyDescent="0.2">
      <c r="A11" s="4" t="s">
        <v>14</v>
      </c>
      <c r="B11" s="1" t="s">
        <v>36</v>
      </c>
    </row>
    <row r="12" spans="1:2" ht="14.25" x14ac:dyDescent="0.2">
      <c r="A12" s="4" t="s">
        <v>15</v>
      </c>
      <c r="B12" s="1" t="s">
        <v>37</v>
      </c>
    </row>
    <row r="13" spans="1:2" ht="14.25" x14ac:dyDescent="0.2">
      <c r="A13" s="4" t="s">
        <v>16</v>
      </c>
      <c r="B13" s="1" t="s">
        <v>38</v>
      </c>
    </row>
    <row r="14" spans="1:2" ht="14.25" x14ac:dyDescent="0.2">
      <c r="A14" s="4" t="s">
        <v>17</v>
      </c>
      <c r="B14" s="1" t="s">
        <v>39</v>
      </c>
    </row>
    <row r="15" spans="1:2" ht="14.25" x14ac:dyDescent="0.2">
      <c r="A15" s="4" t="s">
        <v>18</v>
      </c>
      <c r="B15" s="1" t="s">
        <v>40</v>
      </c>
    </row>
    <row r="16" spans="1:2" ht="14.25" x14ac:dyDescent="0.2">
      <c r="A16" s="4" t="s">
        <v>19</v>
      </c>
      <c r="B16" s="1" t="s">
        <v>41</v>
      </c>
    </row>
    <row r="17" spans="1:2" ht="14.25" x14ac:dyDescent="0.2">
      <c r="A17" s="4" t="s">
        <v>20</v>
      </c>
      <c r="B17" s="1" t="s">
        <v>42</v>
      </c>
    </row>
    <row r="18" spans="1:2" ht="14.25" x14ac:dyDescent="0.2">
      <c r="A18" s="4" t="s">
        <v>21</v>
      </c>
      <c r="B18" s="1" t="s">
        <v>43</v>
      </c>
    </row>
    <row r="19" spans="1:2" ht="14.25" x14ac:dyDescent="0.2">
      <c r="A19" s="4" t="s">
        <v>22</v>
      </c>
      <c r="B19" s="1" t="s">
        <v>44</v>
      </c>
    </row>
    <row r="20" spans="1:2" ht="14.25" x14ac:dyDescent="0.2">
      <c r="A20" s="4" t="s">
        <v>23</v>
      </c>
      <c r="B20" s="1" t="s">
        <v>45</v>
      </c>
    </row>
    <row r="21" spans="1:2" ht="14.25" x14ac:dyDescent="0.2">
      <c r="A21" s="4" t="s">
        <v>24</v>
      </c>
      <c r="B21" s="1" t="s">
        <v>46</v>
      </c>
    </row>
    <row r="22" spans="1:2" ht="14.25" x14ac:dyDescent="0.2">
      <c r="A22" s="4" t="s">
        <v>25</v>
      </c>
      <c r="B22" s="1" t="s">
        <v>47</v>
      </c>
    </row>
    <row r="23" spans="1:2" ht="14.25" x14ac:dyDescent="0.2">
      <c r="A23" s="4" t="s">
        <v>26</v>
      </c>
      <c r="B23" s="1" t="s">
        <v>48</v>
      </c>
    </row>
    <row r="24" spans="1:2" ht="14.25" x14ac:dyDescent="0.2">
      <c r="A24" s="4" t="s">
        <v>27</v>
      </c>
      <c r="B24" s="1" t="s">
        <v>49</v>
      </c>
    </row>
    <row r="25" spans="1:2" ht="14.25" x14ac:dyDescent="0.2">
      <c r="A25" s="4" t="s">
        <v>28</v>
      </c>
      <c r="B25" s="1" t="s">
        <v>50</v>
      </c>
    </row>
    <row r="26" spans="1:2" ht="14.25" x14ac:dyDescent="0.2">
      <c r="A26" s="4" t="s">
        <v>29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1</v>
      </c>
      <c r="B30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1FC9-3A3A-4B11-A6CF-F4ED1F5636C9}">
  <dimension ref="A1:X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26.7109375" style="7" customWidth="1"/>
    <col min="2" max="2" width="7.7109375" style="5" customWidth="1"/>
    <col min="3" max="13" width="9.7109375" style="5" customWidth="1"/>
    <col min="14" max="24" width="11.7109375" style="6" customWidth="1"/>
  </cols>
  <sheetData>
    <row r="1" spans="1:24" x14ac:dyDescent="0.2">
      <c r="A1" s="3" t="s">
        <v>4</v>
      </c>
      <c r="B1" s="3" t="s">
        <v>6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13" t="s">
        <v>18</v>
      </c>
      <c r="N1" s="12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</row>
    <row r="2" spans="1:24" x14ac:dyDescent="0.2">
      <c r="A2" s="7" t="s">
        <v>56</v>
      </c>
      <c r="B2" s="5">
        <v>90</v>
      </c>
      <c r="E2" s="5">
        <v>2</v>
      </c>
      <c r="F2" s="5">
        <v>5</v>
      </c>
      <c r="G2" s="5">
        <v>6</v>
      </c>
      <c r="H2" s="5">
        <v>6</v>
      </c>
      <c r="I2" s="5">
        <v>14</v>
      </c>
      <c r="J2" s="5">
        <v>23</v>
      </c>
      <c r="K2" s="5">
        <v>8</v>
      </c>
      <c r="L2" s="5">
        <v>8</v>
      </c>
      <c r="M2" s="14">
        <v>18</v>
      </c>
      <c r="P2" s="6">
        <v>2.2222200000000001</v>
      </c>
      <c r="Q2" s="6">
        <v>5.5555599999999998</v>
      </c>
      <c r="R2" s="6">
        <v>6.6666699999999999</v>
      </c>
      <c r="S2" s="6">
        <v>6.6666699999999999</v>
      </c>
      <c r="T2" s="6">
        <v>15.55556</v>
      </c>
      <c r="U2" s="6">
        <v>25.55556</v>
      </c>
      <c r="V2" s="6">
        <v>8.88889</v>
      </c>
      <c r="W2" s="6">
        <v>8.88889</v>
      </c>
      <c r="X2" s="6">
        <v>20</v>
      </c>
    </row>
    <row r="3" spans="1:24" x14ac:dyDescent="0.2">
      <c r="A3" s="7" t="s">
        <v>57</v>
      </c>
      <c r="B3" s="5">
        <v>62</v>
      </c>
      <c r="E3" s="5">
        <v>2</v>
      </c>
      <c r="F3" s="5">
        <v>2</v>
      </c>
      <c r="G3" s="5">
        <v>2</v>
      </c>
      <c r="H3" s="5">
        <v>2</v>
      </c>
      <c r="I3" s="5">
        <v>6</v>
      </c>
      <c r="J3" s="5">
        <v>13</v>
      </c>
      <c r="K3" s="5">
        <v>9</v>
      </c>
      <c r="L3" s="5">
        <v>10</v>
      </c>
      <c r="M3" s="14">
        <v>16</v>
      </c>
      <c r="P3" s="6">
        <v>3.2258100000000001</v>
      </c>
      <c r="Q3" s="6">
        <v>3.2258100000000001</v>
      </c>
      <c r="R3" s="6">
        <v>3.2258100000000001</v>
      </c>
      <c r="S3" s="6">
        <v>3.2258100000000001</v>
      </c>
      <c r="T3" s="6">
        <v>9.6774199999999997</v>
      </c>
      <c r="U3" s="6">
        <v>20.967739999999999</v>
      </c>
      <c r="V3" s="6">
        <v>14.51613</v>
      </c>
      <c r="W3" s="6">
        <v>16.12903</v>
      </c>
      <c r="X3" s="6">
        <v>25.806450000000002</v>
      </c>
    </row>
    <row r="4" spans="1:24" x14ac:dyDescent="0.2">
      <c r="A4" s="7" t="s">
        <v>58</v>
      </c>
      <c r="B4" s="5">
        <v>48</v>
      </c>
      <c r="E4" s="5">
        <v>1</v>
      </c>
      <c r="F4" s="5">
        <v>1</v>
      </c>
      <c r="G4" s="5">
        <v>3</v>
      </c>
      <c r="H4" s="5">
        <v>6</v>
      </c>
      <c r="I4" s="5">
        <v>7</v>
      </c>
      <c r="J4" s="5">
        <v>7</v>
      </c>
      <c r="K4" s="5">
        <v>9</v>
      </c>
      <c r="L4" s="5">
        <v>5</v>
      </c>
      <c r="M4" s="14">
        <v>9</v>
      </c>
      <c r="P4" s="6">
        <v>2.0833300000000001</v>
      </c>
      <c r="Q4" s="6">
        <v>2.0833300000000001</v>
      </c>
      <c r="R4" s="6">
        <v>6.25</v>
      </c>
      <c r="S4" s="6">
        <v>12.5</v>
      </c>
      <c r="T4" s="6">
        <v>14.58333</v>
      </c>
      <c r="U4" s="6">
        <v>14.58333</v>
      </c>
      <c r="V4" s="6">
        <v>18.75</v>
      </c>
      <c r="W4" s="6">
        <v>10.41667</v>
      </c>
      <c r="X4" s="6">
        <v>18.75</v>
      </c>
    </row>
    <row r="5" spans="1:24" x14ac:dyDescent="0.2">
      <c r="A5" s="7" t="s">
        <v>59</v>
      </c>
      <c r="B5" s="5">
        <v>32</v>
      </c>
      <c r="D5" s="5">
        <v>1</v>
      </c>
      <c r="E5" s="5">
        <v>8</v>
      </c>
      <c r="F5" s="5">
        <v>9</v>
      </c>
      <c r="G5" s="5">
        <v>6</v>
      </c>
      <c r="H5" s="5">
        <v>4</v>
      </c>
      <c r="I5" s="5">
        <v>2</v>
      </c>
      <c r="J5" s="5">
        <v>2</v>
      </c>
      <c r="M5" s="14"/>
      <c r="O5" s="6">
        <v>3.125</v>
      </c>
      <c r="P5" s="6">
        <v>25</v>
      </c>
      <c r="Q5" s="6">
        <v>28.125</v>
      </c>
      <c r="R5" s="6">
        <v>18.75</v>
      </c>
      <c r="S5" s="6">
        <v>12.5</v>
      </c>
      <c r="T5" s="6">
        <v>6.25</v>
      </c>
      <c r="U5" s="6">
        <v>6.25</v>
      </c>
    </row>
    <row r="6" spans="1:24" x14ac:dyDescent="0.2">
      <c r="A6" s="7" t="s">
        <v>60</v>
      </c>
      <c r="B6" s="5">
        <v>1</v>
      </c>
      <c r="F6" s="5">
        <v>1</v>
      </c>
      <c r="M6" s="14"/>
      <c r="Q6" s="6">
        <v>100</v>
      </c>
    </row>
    <row r="7" spans="1:24" x14ac:dyDescent="0.2">
      <c r="A7" s="7" t="s">
        <v>61</v>
      </c>
      <c r="B7" s="5">
        <v>1</v>
      </c>
      <c r="E7" s="5">
        <v>1</v>
      </c>
      <c r="M7" s="14"/>
      <c r="P7" s="6">
        <v>100</v>
      </c>
    </row>
    <row r="8" spans="1:24" x14ac:dyDescent="0.2">
      <c r="A8" s="7" t="s">
        <v>62</v>
      </c>
      <c r="B8" s="5">
        <v>9</v>
      </c>
      <c r="G8" s="5">
        <v>2</v>
      </c>
      <c r="I8" s="5">
        <v>1</v>
      </c>
      <c r="J8" s="5">
        <v>2</v>
      </c>
      <c r="K8" s="5">
        <v>2</v>
      </c>
      <c r="L8" s="5">
        <v>1</v>
      </c>
      <c r="M8" s="14">
        <v>1</v>
      </c>
      <c r="R8" s="6">
        <v>22.22222</v>
      </c>
      <c r="T8" s="6">
        <v>11.11111</v>
      </c>
      <c r="U8" s="6">
        <v>22.22222</v>
      </c>
      <c r="V8" s="6">
        <v>22.22222</v>
      </c>
      <c r="W8" s="6">
        <v>11.11111</v>
      </c>
      <c r="X8" s="6">
        <v>11.11111</v>
      </c>
    </row>
    <row r="9" spans="1:24" x14ac:dyDescent="0.2">
      <c r="A9" s="7" t="s">
        <v>63</v>
      </c>
      <c r="B9" s="5">
        <v>2</v>
      </c>
      <c r="H9" s="5">
        <v>1</v>
      </c>
      <c r="K9" s="5">
        <v>1</v>
      </c>
      <c r="M9" s="14"/>
      <c r="S9" s="6">
        <v>50</v>
      </c>
      <c r="V9" s="6">
        <v>50</v>
      </c>
    </row>
    <row r="10" spans="1:24" x14ac:dyDescent="0.2">
      <c r="A10" s="7" t="s">
        <v>64</v>
      </c>
      <c r="B10" s="5">
        <v>1</v>
      </c>
      <c r="G10" s="5">
        <v>1</v>
      </c>
      <c r="M10" s="14"/>
      <c r="R10" s="6">
        <v>100</v>
      </c>
    </row>
    <row r="11" spans="1:24" x14ac:dyDescent="0.2">
      <c r="A11" s="7" t="s">
        <v>65</v>
      </c>
      <c r="B11" s="5">
        <v>30</v>
      </c>
      <c r="F11" s="5">
        <v>3</v>
      </c>
      <c r="G11" s="5">
        <v>7</v>
      </c>
      <c r="H11" s="5">
        <v>8</v>
      </c>
      <c r="I11" s="5">
        <v>6</v>
      </c>
      <c r="J11" s="5">
        <v>5</v>
      </c>
      <c r="M11" s="14">
        <v>1</v>
      </c>
      <c r="Q11" s="6">
        <v>10</v>
      </c>
      <c r="R11" s="6">
        <v>23.33333</v>
      </c>
      <c r="S11" s="6">
        <v>26.66667</v>
      </c>
      <c r="T11" s="6">
        <v>20</v>
      </c>
      <c r="U11" s="6">
        <v>16.66667</v>
      </c>
      <c r="X11" s="6">
        <v>3.3333300000000001</v>
      </c>
    </row>
    <row r="12" spans="1:24" x14ac:dyDescent="0.2">
      <c r="A12" s="7" t="s">
        <v>66</v>
      </c>
      <c r="B12" s="5">
        <v>1</v>
      </c>
      <c r="E12" s="5">
        <v>1</v>
      </c>
      <c r="M12" s="14"/>
      <c r="P12" s="6">
        <v>100</v>
      </c>
    </row>
    <row r="13" spans="1:24" x14ac:dyDescent="0.2">
      <c r="A13" s="7" t="s">
        <v>67</v>
      </c>
      <c r="B13" s="5">
        <v>1</v>
      </c>
      <c r="H13" s="5">
        <v>1</v>
      </c>
      <c r="M13" s="14"/>
      <c r="S13" s="6">
        <v>100</v>
      </c>
    </row>
    <row r="14" spans="1:24" x14ac:dyDescent="0.2">
      <c r="A14" s="7" t="s">
        <v>68</v>
      </c>
      <c r="B14" s="5">
        <v>83</v>
      </c>
      <c r="D14" s="5">
        <v>3</v>
      </c>
      <c r="E14" s="5">
        <v>4</v>
      </c>
      <c r="F14" s="5">
        <v>26</v>
      </c>
      <c r="G14" s="5">
        <v>16</v>
      </c>
      <c r="H14" s="5">
        <v>8</v>
      </c>
      <c r="I14" s="5">
        <v>18</v>
      </c>
      <c r="J14" s="5">
        <v>5</v>
      </c>
      <c r="K14" s="5">
        <v>3</v>
      </c>
      <c r="M14" s="14"/>
      <c r="O14" s="6">
        <v>3.6144599999999998</v>
      </c>
      <c r="P14" s="6">
        <v>4.81928</v>
      </c>
      <c r="Q14" s="6">
        <v>31.325299999999999</v>
      </c>
      <c r="R14" s="6">
        <v>19.27711</v>
      </c>
      <c r="S14" s="6">
        <v>9.6385500000000004</v>
      </c>
      <c r="T14" s="6">
        <v>21.68675</v>
      </c>
      <c r="U14" s="6">
        <v>6.0240999999999998</v>
      </c>
      <c r="V14" s="6">
        <v>3.6144599999999998</v>
      </c>
    </row>
    <row r="15" spans="1:24" x14ac:dyDescent="0.2">
      <c r="A15" s="7" t="s">
        <v>69</v>
      </c>
      <c r="B15" s="5">
        <v>10</v>
      </c>
      <c r="F15" s="5">
        <v>1</v>
      </c>
      <c r="G15" s="5">
        <v>1</v>
      </c>
      <c r="H15" s="5">
        <v>2</v>
      </c>
      <c r="I15" s="5">
        <v>3</v>
      </c>
      <c r="J15" s="5">
        <v>2</v>
      </c>
      <c r="K15" s="5">
        <v>1</v>
      </c>
      <c r="M15" s="14"/>
      <c r="Q15" s="6">
        <v>10</v>
      </c>
      <c r="R15" s="6">
        <v>10</v>
      </c>
      <c r="S15" s="6">
        <v>20</v>
      </c>
      <c r="T15" s="6">
        <v>30</v>
      </c>
      <c r="U15" s="6">
        <v>20</v>
      </c>
      <c r="V15" s="6">
        <v>10</v>
      </c>
    </row>
    <row r="16" spans="1:24" x14ac:dyDescent="0.2">
      <c r="A16" s="7" t="s">
        <v>70</v>
      </c>
      <c r="B16" s="5">
        <v>1</v>
      </c>
      <c r="J16" s="5">
        <v>1</v>
      </c>
      <c r="M16" s="14"/>
      <c r="U16" s="6">
        <v>100</v>
      </c>
    </row>
    <row r="17" spans="1:24" x14ac:dyDescent="0.2">
      <c r="A17" s="7" t="s">
        <v>71</v>
      </c>
      <c r="B17" s="5">
        <v>1</v>
      </c>
      <c r="E17" s="5">
        <v>1</v>
      </c>
      <c r="M17" s="14"/>
      <c r="P17" s="6">
        <v>100</v>
      </c>
    </row>
    <row r="18" spans="1:24" x14ac:dyDescent="0.2">
      <c r="A18" s="7" t="s">
        <v>72</v>
      </c>
      <c r="B18" s="5">
        <v>1</v>
      </c>
      <c r="J18" s="5">
        <v>1</v>
      </c>
      <c r="M18" s="14"/>
      <c r="U18" s="6">
        <v>100</v>
      </c>
    </row>
    <row r="19" spans="1:24" x14ac:dyDescent="0.2">
      <c r="A19" s="7" t="s">
        <v>73</v>
      </c>
      <c r="B19" s="5">
        <v>18</v>
      </c>
      <c r="G19" s="5">
        <v>7</v>
      </c>
      <c r="H19" s="5">
        <v>6</v>
      </c>
      <c r="I19" s="5">
        <v>3</v>
      </c>
      <c r="J19" s="5">
        <v>2</v>
      </c>
      <c r="M19" s="14"/>
      <c r="R19" s="6">
        <v>38.888890000000004</v>
      </c>
      <c r="S19" s="6">
        <v>33.333329999999997</v>
      </c>
      <c r="T19" s="6">
        <v>16.66667</v>
      </c>
      <c r="U19" s="6">
        <v>11.11111</v>
      </c>
    </row>
    <row r="20" spans="1:24" x14ac:dyDescent="0.2">
      <c r="A20" s="7" t="s">
        <v>74</v>
      </c>
      <c r="B20" s="5">
        <v>2</v>
      </c>
      <c r="I20" s="5">
        <v>2</v>
      </c>
      <c r="M20" s="14"/>
      <c r="T20" s="6">
        <v>100</v>
      </c>
    </row>
    <row r="21" spans="1:24" x14ac:dyDescent="0.2">
      <c r="A21" s="7" t="s">
        <v>75</v>
      </c>
      <c r="B21" s="5">
        <v>138</v>
      </c>
      <c r="F21" s="5">
        <v>3</v>
      </c>
      <c r="G21" s="5">
        <v>7</v>
      </c>
      <c r="H21" s="5">
        <v>16</v>
      </c>
      <c r="I21" s="5">
        <v>21</v>
      </c>
      <c r="J21" s="5">
        <v>37</v>
      </c>
      <c r="K21" s="5">
        <v>26</v>
      </c>
      <c r="L21" s="5">
        <v>14</v>
      </c>
      <c r="M21" s="14">
        <v>14</v>
      </c>
      <c r="Q21" s="6">
        <v>2.1739099999999998</v>
      </c>
      <c r="R21" s="6">
        <v>5.0724600000000004</v>
      </c>
      <c r="S21" s="6">
        <v>11.594200000000001</v>
      </c>
      <c r="T21" s="6">
        <v>15.21739</v>
      </c>
      <c r="U21" s="6">
        <v>26.811589999999999</v>
      </c>
      <c r="V21" s="6">
        <v>18.840579999999999</v>
      </c>
      <c r="W21" s="6">
        <v>10.14493</v>
      </c>
      <c r="X21" s="6">
        <v>10.14493</v>
      </c>
    </row>
    <row r="22" spans="1:24" x14ac:dyDescent="0.2">
      <c r="A22" s="7" t="s">
        <v>76</v>
      </c>
      <c r="B22" s="5">
        <v>131</v>
      </c>
      <c r="F22" s="5">
        <v>4</v>
      </c>
      <c r="G22" s="5">
        <v>11</v>
      </c>
      <c r="H22" s="5">
        <v>23</v>
      </c>
      <c r="I22" s="5">
        <v>26</v>
      </c>
      <c r="J22" s="5">
        <v>26</v>
      </c>
      <c r="K22" s="5">
        <v>22</v>
      </c>
      <c r="L22" s="5">
        <v>9</v>
      </c>
      <c r="M22" s="14">
        <v>9</v>
      </c>
      <c r="Q22" s="6">
        <v>3.0534400000000002</v>
      </c>
      <c r="R22" s="6">
        <v>8.3969500000000004</v>
      </c>
      <c r="S22" s="6">
        <v>17.55725</v>
      </c>
      <c r="T22" s="6">
        <v>19.847329999999999</v>
      </c>
      <c r="U22" s="6">
        <v>19.847329999999999</v>
      </c>
      <c r="V22" s="6">
        <v>16.793890000000001</v>
      </c>
      <c r="W22" s="6">
        <v>6.8702300000000003</v>
      </c>
      <c r="X22" s="6">
        <v>6.8702300000000003</v>
      </c>
    </row>
    <row r="23" spans="1:24" x14ac:dyDescent="0.2">
      <c r="A23" s="7" t="s">
        <v>77</v>
      </c>
      <c r="B23" s="5">
        <v>63</v>
      </c>
      <c r="F23" s="5">
        <v>5</v>
      </c>
      <c r="G23" s="5">
        <v>7</v>
      </c>
      <c r="H23" s="5">
        <v>17</v>
      </c>
      <c r="I23" s="5">
        <v>16</v>
      </c>
      <c r="J23" s="5">
        <v>9</v>
      </c>
      <c r="K23" s="5">
        <v>7</v>
      </c>
      <c r="L23" s="5">
        <v>2</v>
      </c>
      <c r="M23" s="14"/>
      <c r="Q23" s="6">
        <v>7.9365100000000002</v>
      </c>
      <c r="R23" s="6">
        <v>11.11111</v>
      </c>
      <c r="S23" s="6">
        <v>26.98413</v>
      </c>
      <c r="T23" s="6">
        <v>25.396830000000001</v>
      </c>
      <c r="U23" s="6">
        <v>14.28571</v>
      </c>
      <c r="V23" s="6">
        <v>11.11111</v>
      </c>
      <c r="W23" s="6">
        <v>3.1745999999999999</v>
      </c>
    </row>
    <row r="24" spans="1:24" x14ac:dyDescent="0.2">
      <c r="A24" s="7" t="s">
        <v>78</v>
      </c>
      <c r="B24" s="5">
        <v>227</v>
      </c>
      <c r="E24" s="5">
        <v>11</v>
      </c>
      <c r="F24" s="5">
        <v>54</v>
      </c>
      <c r="G24" s="5">
        <v>59</v>
      </c>
      <c r="H24" s="5">
        <v>46</v>
      </c>
      <c r="I24" s="5">
        <v>28</v>
      </c>
      <c r="J24" s="5">
        <v>14</v>
      </c>
      <c r="K24" s="5">
        <v>10</v>
      </c>
      <c r="L24" s="5">
        <v>5</v>
      </c>
      <c r="M24" s="14"/>
      <c r="P24" s="6">
        <v>4.8458100000000002</v>
      </c>
      <c r="Q24" s="6">
        <v>23.788550000000001</v>
      </c>
      <c r="R24" s="6">
        <v>25.99119</v>
      </c>
      <c r="S24" s="6">
        <v>20.264320000000001</v>
      </c>
      <c r="T24" s="6">
        <v>12.3348</v>
      </c>
      <c r="U24" s="6">
        <v>6.1673999999999998</v>
      </c>
      <c r="V24" s="6">
        <v>4.4052899999999999</v>
      </c>
      <c r="W24" s="6">
        <v>2.2026400000000002</v>
      </c>
    </row>
    <row r="25" spans="1:24" x14ac:dyDescent="0.2">
      <c r="A25" s="7" t="s">
        <v>79</v>
      </c>
      <c r="B25" s="5">
        <v>14</v>
      </c>
      <c r="E25" s="5">
        <v>1</v>
      </c>
      <c r="F25" s="5">
        <v>5</v>
      </c>
      <c r="G25" s="5">
        <v>2</v>
      </c>
      <c r="H25" s="5">
        <v>3</v>
      </c>
      <c r="I25" s="5">
        <v>1</v>
      </c>
      <c r="K25" s="5">
        <v>1</v>
      </c>
      <c r="L25" s="5">
        <v>1</v>
      </c>
      <c r="M25" s="14"/>
      <c r="P25" s="6">
        <v>7.1428599999999998</v>
      </c>
      <c r="Q25" s="6">
        <v>35.714289999999998</v>
      </c>
      <c r="R25" s="6">
        <v>14.28571</v>
      </c>
      <c r="S25" s="6">
        <v>21.428570000000001</v>
      </c>
      <c r="T25" s="6">
        <v>7.1428599999999998</v>
      </c>
      <c r="V25" s="6">
        <v>7.1428599999999998</v>
      </c>
      <c r="W25" s="6">
        <v>7.1428599999999998</v>
      </c>
    </row>
    <row r="26" spans="1:24" x14ac:dyDescent="0.2">
      <c r="A26" s="7" t="s">
        <v>80</v>
      </c>
      <c r="B26" s="5">
        <v>4</v>
      </c>
      <c r="F26" s="5">
        <v>1</v>
      </c>
      <c r="H26" s="5">
        <v>3</v>
      </c>
      <c r="M26" s="14"/>
      <c r="Q26" s="6">
        <v>25</v>
      </c>
      <c r="S26" s="6">
        <v>75</v>
      </c>
    </row>
    <row r="27" spans="1:24" x14ac:dyDescent="0.2">
      <c r="A27" s="7" t="s">
        <v>81</v>
      </c>
      <c r="B27" s="5">
        <v>62</v>
      </c>
      <c r="E27" s="5">
        <v>7</v>
      </c>
      <c r="F27" s="5">
        <v>6</v>
      </c>
      <c r="G27" s="5">
        <v>9</v>
      </c>
      <c r="H27" s="5">
        <v>11</v>
      </c>
      <c r="I27" s="5">
        <v>10</v>
      </c>
      <c r="J27" s="5">
        <v>6</v>
      </c>
      <c r="K27" s="5">
        <v>8</v>
      </c>
      <c r="L27" s="5">
        <v>1</v>
      </c>
      <c r="M27" s="14">
        <v>4</v>
      </c>
      <c r="P27" s="6">
        <v>11.290319999999999</v>
      </c>
      <c r="Q27" s="6">
        <v>9.6774199999999997</v>
      </c>
      <c r="R27" s="6">
        <v>14.51613</v>
      </c>
      <c r="S27" s="6">
        <v>17.74194</v>
      </c>
      <c r="T27" s="6">
        <v>16.12903</v>
      </c>
      <c r="U27" s="6">
        <v>9.6774199999999997</v>
      </c>
      <c r="V27" s="6">
        <v>12.903230000000001</v>
      </c>
      <c r="W27" s="6">
        <v>1.6129</v>
      </c>
      <c r="X27" s="6">
        <v>6.4516099999999996</v>
      </c>
    </row>
    <row r="28" spans="1:24" x14ac:dyDescent="0.2">
      <c r="A28" s="7" t="s">
        <v>82</v>
      </c>
      <c r="B28" s="5">
        <v>13</v>
      </c>
      <c r="G28" s="5">
        <v>3</v>
      </c>
      <c r="H28" s="5">
        <v>4</v>
      </c>
      <c r="I28" s="5">
        <v>3</v>
      </c>
      <c r="J28" s="5">
        <v>3</v>
      </c>
      <c r="M28" s="14"/>
      <c r="R28" s="6">
        <v>23.076920000000001</v>
      </c>
      <c r="S28" s="6">
        <v>30.76923</v>
      </c>
      <c r="T28" s="6">
        <v>23.076920000000001</v>
      </c>
      <c r="U28" s="6">
        <v>23.076920000000001</v>
      </c>
    </row>
    <row r="29" spans="1:24" x14ac:dyDescent="0.2">
      <c r="A29" s="7" t="s">
        <v>83</v>
      </c>
      <c r="B29" s="5">
        <v>86</v>
      </c>
      <c r="E29" s="5">
        <v>2</v>
      </c>
      <c r="F29" s="5">
        <v>15</v>
      </c>
      <c r="G29" s="5">
        <v>22</v>
      </c>
      <c r="H29" s="5">
        <v>10</v>
      </c>
      <c r="I29" s="5">
        <v>24</v>
      </c>
      <c r="J29" s="5">
        <v>8</v>
      </c>
      <c r="K29" s="5">
        <v>4</v>
      </c>
      <c r="L29" s="5">
        <v>1</v>
      </c>
      <c r="M29" s="14"/>
      <c r="P29" s="6">
        <v>2.32558</v>
      </c>
      <c r="Q29" s="6">
        <v>17.441859999999998</v>
      </c>
      <c r="R29" s="6">
        <v>25.581399999999999</v>
      </c>
      <c r="S29" s="6">
        <v>11.62791</v>
      </c>
      <c r="T29" s="6">
        <v>27.906980000000001</v>
      </c>
      <c r="U29" s="6">
        <v>9.3023299999999995</v>
      </c>
      <c r="V29" s="6">
        <v>4.65116</v>
      </c>
      <c r="W29" s="6">
        <v>1.16279</v>
      </c>
    </row>
    <row r="30" spans="1:24" x14ac:dyDescent="0.2">
      <c r="A30" s="7" t="s">
        <v>84</v>
      </c>
      <c r="B30" s="5">
        <v>20</v>
      </c>
      <c r="E30" s="5">
        <v>1</v>
      </c>
      <c r="F30" s="5">
        <v>1</v>
      </c>
      <c r="G30" s="5">
        <v>6</v>
      </c>
      <c r="H30" s="5">
        <v>2</v>
      </c>
      <c r="I30" s="5">
        <v>2</v>
      </c>
      <c r="J30" s="5">
        <v>5</v>
      </c>
      <c r="K30" s="5">
        <v>3</v>
      </c>
      <c r="M30" s="14"/>
      <c r="P30" s="6">
        <v>5</v>
      </c>
      <c r="Q30" s="6">
        <v>5</v>
      </c>
      <c r="R30" s="6">
        <v>30</v>
      </c>
      <c r="S30" s="6">
        <v>10</v>
      </c>
      <c r="T30" s="6">
        <v>10</v>
      </c>
      <c r="U30" s="6">
        <v>25</v>
      </c>
      <c r="V30" s="6">
        <v>15</v>
      </c>
    </row>
    <row r="31" spans="1:24" ht="13.5" thickBot="1" x14ac:dyDescent="0.25">
      <c r="A31" s="7" t="s">
        <v>85</v>
      </c>
      <c r="B31" s="5">
        <v>6</v>
      </c>
      <c r="F31" s="5">
        <v>2</v>
      </c>
      <c r="G31" s="5">
        <v>2</v>
      </c>
      <c r="H31" s="5">
        <v>2</v>
      </c>
      <c r="M31" s="14"/>
      <c r="Q31" s="6">
        <v>33.333329999999997</v>
      </c>
      <c r="R31" s="6">
        <v>33.333329999999997</v>
      </c>
      <c r="S31" s="6">
        <v>33.333329999999997</v>
      </c>
    </row>
    <row r="32" spans="1:24" s="8" customFormat="1" x14ac:dyDescent="0.2">
      <c r="A32" s="9" t="s">
        <v>86</v>
      </c>
      <c r="B32" s="10">
        <f>SUM(B2:B31)</f>
        <v>1158</v>
      </c>
      <c r="C32" s="10">
        <f t="shared" ref="C32:M32" si="0">SUM(C2:C31)</f>
        <v>0</v>
      </c>
      <c r="D32" s="10">
        <f t="shared" si="0"/>
        <v>4</v>
      </c>
      <c r="E32" s="10">
        <f t="shared" si="0"/>
        <v>42</v>
      </c>
      <c r="F32" s="10">
        <f t="shared" si="0"/>
        <v>144</v>
      </c>
      <c r="G32" s="10">
        <f t="shared" si="0"/>
        <v>179</v>
      </c>
      <c r="H32" s="10">
        <f t="shared" si="0"/>
        <v>181</v>
      </c>
      <c r="I32" s="10">
        <f t="shared" si="0"/>
        <v>193</v>
      </c>
      <c r="J32" s="10">
        <f t="shared" si="0"/>
        <v>171</v>
      </c>
      <c r="K32" s="10">
        <f t="shared" si="0"/>
        <v>114</v>
      </c>
      <c r="L32" s="10">
        <f t="shared" si="0"/>
        <v>57</v>
      </c>
      <c r="M32" s="15">
        <f t="shared" si="0"/>
        <v>72</v>
      </c>
      <c r="N32" s="11" t="str">
        <f>IF(C32,100*C32/$B32,"")</f>
        <v/>
      </c>
      <c r="O32" s="11">
        <f t="shared" ref="O32:X32" si="1">IF(D32,100*D32/$B32,"")</f>
        <v>0.34542314335060448</v>
      </c>
      <c r="P32" s="11">
        <f t="shared" si="1"/>
        <v>3.6269430051813472</v>
      </c>
      <c r="Q32" s="11">
        <f t="shared" si="1"/>
        <v>12.435233160621761</v>
      </c>
      <c r="R32" s="11">
        <f t="shared" si="1"/>
        <v>15.45768566493955</v>
      </c>
      <c r="S32" s="11">
        <f t="shared" si="1"/>
        <v>15.630397236614852</v>
      </c>
      <c r="T32" s="11">
        <f t="shared" si="1"/>
        <v>16.666666666666668</v>
      </c>
      <c r="U32" s="11">
        <f t="shared" si="1"/>
        <v>14.766839378238341</v>
      </c>
      <c r="V32" s="11">
        <f t="shared" si="1"/>
        <v>9.8445595854922274</v>
      </c>
      <c r="W32" s="11">
        <f t="shared" si="1"/>
        <v>4.9222797927461137</v>
      </c>
      <c r="X32" s="11">
        <f t="shared" si="1"/>
        <v>6.2176165803108807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2025-09-23T17:33:14Z</dcterms:created>
  <dcterms:modified xsi:type="dcterms:W3CDTF">2025-09-23T17:33:14Z</dcterms:modified>
</cp:coreProperties>
</file>