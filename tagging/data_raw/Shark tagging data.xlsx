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rgaretwilson/Github/emc/tagging/data_raw/"/>
    </mc:Choice>
  </mc:AlternateContent>
  <xr:revisionPtr revIDLastSave="0" documentId="13_ncr:1_{9C8AF4E0-5069-744A-A929-DD356C476BE9}" xr6:coauthVersionLast="47" xr6:coauthVersionMax="47" xr10:uidLastSave="{00000000-0000-0000-0000-000000000000}"/>
  <bookViews>
    <workbookView xWindow="0" yWindow="760" windowWidth="30240" windowHeight="17140" xr2:uid="{00000000-000D-0000-FFFF-FFFF00000000}"/>
  </bookViews>
  <sheets>
    <sheet name="Tagging" sheetId="1" r:id="rId1"/>
    <sheet name="Effort" sheetId="2" r:id="rId2"/>
    <sheet name="Telemetry MetaData" sheetId="3" r:id="rId3"/>
    <sheet name="Pings" sheetId="4" r:id="rId4"/>
    <sheet name="Depth" sheetId="5" r:id="rId5"/>
    <sheet name="Temp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" l="1"/>
  <c r="F9" i="2"/>
  <c r="F8" i="2"/>
  <c r="F7" i="2"/>
  <c r="F6" i="2"/>
  <c r="F5" i="2"/>
  <c r="F4" i="2"/>
  <c r="F3" i="2"/>
  <c r="F2" i="2"/>
  <c r="N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5000000}">
      <text>
        <r>
          <rPr>
            <sz val="10"/>
            <color rgb="FF000000"/>
            <rFont val="Arial"/>
            <scheme val="minor"/>
          </rPr>
          <t>Doesn't align with tag data?
	-Molly Wilson</t>
        </r>
      </text>
    </comment>
    <comment ref="L9" authorId="0" shapeId="0" xr:uid="{00000000-0006-0000-0000-000003000000}">
      <text>
        <r>
          <rPr>
            <sz val="10"/>
            <color rgb="FF000000"/>
            <rFont val="Arial"/>
            <scheme val="minor"/>
          </rPr>
          <t>This is listed as a male in tagging data but as female in satellite tag dataset
	-Molly Wilson</t>
        </r>
      </text>
    </comment>
    <comment ref="T9" authorId="0" shapeId="0" xr:uid="{00000000-0006-0000-0000-000002000000}">
      <text>
        <r>
          <rPr>
            <sz val="10"/>
            <color rgb="FF000000"/>
            <rFont val="Arial"/>
            <scheme val="minor"/>
          </rPr>
          <t>Different in Tadzio's OG data
	-Molly Wilson</t>
        </r>
      </text>
    </comment>
    <comment ref="I10" authorId="0" shapeId="0" xr:uid="{00000000-0006-0000-0000-000004000000}">
      <text>
        <r>
          <rPr>
            <sz val="10"/>
            <color rgb="FF000000"/>
            <rFont val="Arial"/>
            <scheme val="minor"/>
          </rPr>
          <t>This shark is listed in Tadzio's sat tag data, but not actual shark tagging dataset
	-Molly Wilson</t>
        </r>
      </text>
    </comment>
    <comment ref="T11" authorId="0" shapeId="0" xr:uid="{00000000-0006-0000-0000-000001000000}">
      <text>
        <r>
          <rPr>
            <sz val="10"/>
            <color rgb="FF000000"/>
            <rFont val="Arial"/>
            <scheme val="minor"/>
          </rPr>
          <t>Different in Tadzio's OG data
	-Molly Wilson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4" authorId="0" shapeId="0" xr:uid="{00000000-0006-0000-0300-000001000000}">
      <text>
        <r>
          <rPr>
            <sz val="10"/>
            <color rgb="FF000000"/>
            <rFont val="Arial"/>
            <scheme val="minor"/>
          </rPr>
          <t>Highlighted because points are on land</t>
        </r>
      </text>
    </comment>
  </commentList>
</comments>
</file>

<file path=xl/sharedStrings.xml><?xml version="1.0" encoding="utf-8"?>
<sst xmlns="http://schemas.openxmlformats.org/spreadsheetml/2006/main" count="868" uniqueCount="140">
  <si>
    <t>Date</t>
  </si>
  <si>
    <t>Time</t>
  </si>
  <si>
    <t>Island</t>
  </si>
  <si>
    <t>Location</t>
  </si>
  <si>
    <t>Lattitude</t>
  </si>
  <si>
    <t>Longitude</t>
  </si>
  <si>
    <t>GPS_unit</t>
  </si>
  <si>
    <t>GPS_Mark</t>
  </si>
  <si>
    <t>Floy</t>
  </si>
  <si>
    <t>Species_com</t>
  </si>
  <si>
    <t>Species</t>
  </si>
  <si>
    <t>Sex</t>
  </si>
  <si>
    <t>Male_maturity</t>
  </si>
  <si>
    <t>TL</t>
  </si>
  <si>
    <t>FL</t>
  </si>
  <si>
    <t>PCL</t>
  </si>
  <si>
    <t>PIT_ID</t>
  </si>
  <si>
    <t>DNA_YN</t>
  </si>
  <si>
    <t>Sat_YN</t>
  </si>
  <si>
    <t>Sat_PTT</t>
  </si>
  <si>
    <t>Notes</t>
  </si>
  <si>
    <t>Attachments</t>
  </si>
  <si>
    <t>Antigua</t>
  </si>
  <si>
    <t>The Nest</t>
  </si>
  <si>
    <t>00168</t>
  </si>
  <si>
    <t>Silky</t>
  </si>
  <si>
    <t>Carcharhinus falciformis</t>
  </si>
  <si>
    <t>F</t>
  </si>
  <si>
    <t>NA</t>
  </si>
  <si>
    <t>989001026933928</t>
  </si>
  <si>
    <t>Y</t>
  </si>
  <si>
    <t>N</t>
  </si>
  <si>
    <t>00175</t>
  </si>
  <si>
    <t>989001026933966</t>
  </si>
  <si>
    <t>00006</t>
  </si>
  <si>
    <t>989001026933899</t>
  </si>
  <si>
    <t>Ffryes Shoals</t>
  </si>
  <si>
    <t>00024</t>
  </si>
  <si>
    <t>Tiger</t>
  </si>
  <si>
    <t>Galeocerdo cuvier</t>
  </si>
  <si>
    <t>989001026933956</t>
  </si>
  <si>
    <t>00165</t>
  </si>
  <si>
    <t>989001026933924</t>
  </si>
  <si>
    <t>00017</t>
  </si>
  <si>
    <t>989001026933918</t>
  </si>
  <si>
    <t>Barbuda</t>
  </si>
  <si>
    <t>Palmetto Point</t>
  </si>
  <si>
    <t>00152</t>
  </si>
  <si>
    <t>989001026933958</t>
  </si>
  <si>
    <t>23U2142</t>
  </si>
  <si>
    <t>00164</t>
  </si>
  <si>
    <t>M</t>
  </si>
  <si>
    <t>989001026933161</t>
  </si>
  <si>
    <t>23U2175</t>
  </si>
  <si>
    <t>This is listed as a male in tagging data but as female in satellite tag dataset. Tadzio's OG data says Sat_PTT 260594? Sat tag origin shows deployment at South Bank</t>
  </si>
  <si>
    <t>12/XX/2023</t>
  </si>
  <si>
    <t>23U2179</t>
  </si>
  <si>
    <t>Nothing in Tadzio's OG data, just sat data output. Sat tag origin says Jabbawock beach....??</t>
  </si>
  <si>
    <t>00166</t>
  </si>
  <si>
    <t>989001026933432</t>
  </si>
  <si>
    <t>23U3903</t>
  </si>
  <si>
    <t>Tadzio's OG data says 260782?</t>
  </si>
  <si>
    <t>2</t>
  </si>
  <si>
    <t>318</t>
  </si>
  <si>
    <t>00199</t>
  </si>
  <si>
    <t>3DD.003035C493</t>
  </si>
  <si>
    <t>322</t>
  </si>
  <si>
    <t>00198</t>
  </si>
  <si>
    <t>Reef</t>
  </si>
  <si>
    <t>Carcharhinus perezii</t>
  </si>
  <si>
    <t>3D6.00183FCF83</t>
  </si>
  <si>
    <t>321</t>
  </si>
  <si>
    <t>00091</t>
  </si>
  <si>
    <t>3D6.00183FCF76</t>
  </si>
  <si>
    <t>00099</t>
  </si>
  <si>
    <t>3D6.00183FCF6F</t>
  </si>
  <si>
    <t>00093</t>
  </si>
  <si>
    <t>3D6.1533AF3161</t>
  </si>
  <si>
    <t>00197</t>
  </si>
  <si>
    <t>Mature</t>
  </si>
  <si>
    <t>3D6.1533AF3140</t>
  </si>
  <si>
    <t>1</t>
  </si>
  <si>
    <t>00192</t>
  </si>
  <si>
    <t>3D6.1534925823</t>
  </si>
  <si>
    <t>00200</t>
  </si>
  <si>
    <t>3D6.15349257F3</t>
  </si>
  <si>
    <t>TL estimated from photo - fish box width is 75cm, other photos implied that length to pelvic fin is approximately half of the total length</t>
  </si>
  <si>
    <t>Start time</t>
  </si>
  <si>
    <t>End time</t>
  </si>
  <si>
    <t>Set duration</t>
  </si>
  <si>
    <t>N rigs</t>
  </si>
  <si>
    <t>Date Tag Deployed</t>
  </si>
  <si>
    <t>Country</t>
  </si>
  <si>
    <t>Tag Deploy Lat</t>
  </si>
  <si>
    <t xml:space="preserve">Tag Deploy Long </t>
  </si>
  <si>
    <t>SPP</t>
  </si>
  <si>
    <t>PTTID</t>
  </si>
  <si>
    <t xml:space="preserve">Data Recieved </t>
  </si>
  <si>
    <t>283833PAT</t>
  </si>
  <si>
    <t>20/10/2025</t>
  </si>
  <si>
    <t>260593PAT</t>
  </si>
  <si>
    <t>26354MINIPAT</t>
  </si>
  <si>
    <t>Est: 17/11/2025</t>
  </si>
  <si>
    <t>36353MINIPAT</t>
  </si>
  <si>
    <t>Point</t>
  </si>
  <si>
    <t>Latitude (°N)</t>
  </si>
  <si>
    <t>Longitude (°W)</t>
  </si>
  <si>
    <t>Date Detected</t>
  </si>
  <si>
    <t>Ping 1</t>
  </si>
  <si>
    <t>Ping 2</t>
  </si>
  <si>
    <t>Ping 3</t>
  </si>
  <si>
    <t>Ping 4</t>
  </si>
  <si>
    <t>Ping 5</t>
  </si>
  <si>
    <t>Ping 6</t>
  </si>
  <si>
    <t>Ping 7</t>
  </si>
  <si>
    <t>Ping 8</t>
  </si>
  <si>
    <t>Ping 9</t>
  </si>
  <si>
    <t>Ping 10</t>
  </si>
  <si>
    <t>Ping 11</t>
  </si>
  <si>
    <t>Ping 12</t>
  </si>
  <si>
    <t>Ping 13</t>
  </si>
  <si>
    <t>Ping 14</t>
  </si>
  <si>
    <t>Ping 15</t>
  </si>
  <si>
    <t>Ping 16</t>
  </si>
  <si>
    <t>Ping 17</t>
  </si>
  <si>
    <t>Ping 18</t>
  </si>
  <si>
    <t>Ping 19</t>
  </si>
  <si>
    <t>Ping 20</t>
  </si>
  <si>
    <t>Ping 21</t>
  </si>
  <si>
    <t>Ping 22</t>
  </si>
  <si>
    <t>Ping 23</t>
  </si>
  <si>
    <t>Ping 24</t>
  </si>
  <si>
    <t>Ping 25</t>
  </si>
  <si>
    <t>Day Since Deploy</t>
  </si>
  <si>
    <t>Mean Depth (m)</t>
  </si>
  <si>
    <t>Min Depth (m)</t>
  </si>
  <si>
    <t>Max Depth (m)</t>
  </si>
  <si>
    <t>Diel Depth Amplitude (m)</t>
  </si>
  <si>
    <t>Sea Surface Temp (°C)</t>
  </si>
  <si>
    <t>At-Depth Temp (°C)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</si>
</sst>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h&quot;:&quot;mm"/>
    <numFmt numFmtId="166" formatCode="mm/dd/yyyy"/>
    <numFmt numFmtId="167" formatCode="yyyy\-mm\-dd\ h:mm:ss"/>
    <numFmt numFmtId="168" formatCode="yyyy\-mm\-dd"/>
  </numFmts>
  <fonts count="9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FF0000"/>
      <name val="Arial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2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0" fillId="4" borderId="0" xfId="0" applyFill="1"/>
    <xf numFmtId="49" fontId="0" fillId="5" borderId="0" xfId="0" applyNumberFormat="1" applyFill="1" applyAlignment="1">
      <alignment horizontal="right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right"/>
    </xf>
    <xf numFmtId="49" fontId="0" fillId="4" borderId="0" xfId="0" applyNumberFormat="1" applyFill="1" applyAlignment="1">
      <alignment horizontal="right"/>
    </xf>
    <xf numFmtId="164" fontId="0" fillId="6" borderId="0" xfId="0" applyNumberFormat="1" applyFill="1"/>
    <xf numFmtId="165" fontId="0" fillId="6" borderId="0" xfId="0" applyNumberFormat="1" applyFill="1"/>
    <xf numFmtId="0" fontId="0" fillId="6" borderId="0" xfId="0" applyFill="1"/>
    <xf numFmtId="49" fontId="0" fillId="6" borderId="0" xfId="0" applyNumberFormat="1" applyFill="1"/>
    <xf numFmtId="49" fontId="0" fillId="6" borderId="0" xfId="0" applyNumberFormat="1" applyFill="1" applyAlignment="1">
      <alignment horizontal="right"/>
    </xf>
    <xf numFmtId="0" fontId="0" fillId="6" borderId="0" xfId="0" applyFill="1" applyAlignment="1">
      <alignment horizontal="right"/>
    </xf>
    <xf numFmtId="49" fontId="0" fillId="0" borderId="0" xfId="0" applyNumberFormat="1"/>
    <xf numFmtId="0" fontId="0" fillId="7" borderId="0" xfId="0" applyFill="1"/>
    <xf numFmtId="0" fontId="3" fillId="0" borderId="0" xfId="0" applyFont="1"/>
    <xf numFmtId="0" fontId="4" fillId="0" borderId="0" xfId="0" applyFont="1"/>
    <xf numFmtId="166" fontId="5" fillId="0" borderId="0" xfId="0" applyNumberFormat="1" applyFont="1"/>
    <xf numFmtId="0" fontId="5" fillId="0" borderId="0" xfId="0" applyFont="1"/>
    <xf numFmtId="20" fontId="5" fillId="0" borderId="0" xfId="0" applyNumberFormat="1" applyFont="1"/>
    <xf numFmtId="0" fontId="0" fillId="3" borderId="0" xfId="0" applyFill="1"/>
    <xf numFmtId="164" fontId="0" fillId="3" borderId="0" xfId="0" applyNumberFormat="1" applyFill="1"/>
    <xf numFmtId="165" fontId="0" fillId="3" borderId="0" xfId="0" applyNumberFormat="1" applyFill="1"/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7" fillId="0" borderId="0" xfId="0" applyFont="1"/>
    <xf numFmtId="0" fontId="7" fillId="0" borderId="0" xfId="0" applyFont="1" applyAlignment="1">
      <alignment horizontal="right"/>
    </xf>
    <xf numFmtId="167" fontId="7" fillId="0" borderId="0" xfId="0" applyNumberFormat="1" applyFont="1" applyAlignment="1">
      <alignment horizontal="right"/>
    </xf>
    <xf numFmtId="168" fontId="7" fillId="0" borderId="0" xfId="0" applyNumberFormat="1" applyFont="1"/>
    <xf numFmtId="49" fontId="8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H999"/>
  <sheetViews>
    <sheetView tabSelected="1" topLeftCell="C1" workbookViewId="0">
      <selection activeCell="R28" sqref="R28"/>
    </sheetView>
  </sheetViews>
  <sheetFormatPr baseColWidth="10" defaultColWidth="12.6640625" defaultRowHeight="15.75" customHeight="1" x14ac:dyDescent="0.15"/>
  <cols>
    <col min="7" max="8" width="12.6640625" hidden="1"/>
    <col min="17" max="17" width="19.6640625" customWidth="1"/>
    <col min="18" max="18" width="11.1640625" customWidth="1"/>
  </cols>
  <sheetData>
    <row r="1" spans="1:34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spans="1:34" ht="15.75" customHeight="1" x14ac:dyDescent="0.15">
      <c r="A2" s="3">
        <v>45247</v>
      </c>
      <c r="B2" s="4">
        <v>0.36041666666666666</v>
      </c>
      <c r="C2" t="s">
        <v>22</v>
      </c>
      <c r="D2" t="s">
        <v>23</v>
      </c>
      <c r="E2">
        <v>16.997533333300002</v>
      </c>
      <c r="F2">
        <v>-61.791933333300001</v>
      </c>
      <c r="I2" s="5" t="s">
        <v>24</v>
      </c>
      <c r="J2" t="s">
        <v>25</v>
      </c>
      <c r="K2" t="s">
        <v>26</v>
      </c>
      <c r="L2" t="s">
        <v>27</v>
      </c>
      <c r="M2" t="s">
        <v>28</v>
      </c>
      <c r="N2" s="6">
        <v>170</v>
      </c>
      <c r="O2" s="7">
        <v>157</v>
      </c>
      <c r="P2" s="7">
        <v>141</v>
      </c>
      <c r="Q2" s="8" t="s">
        <v>29</v>
      </c>
      <c r="R2" s="8" t="s">
        <v>30</v>
      </c>
      <c r="S2" s="7" t="s">
        <v>31</v>
      </c>
      <c r="T2" s="8" t="s">
        <v>28</v>
      </c>
    </row>
    <row r="3" spans="1:34" ht="15.75" customHeight="1" x14ac:dyDescent="0.15">
      <c r="A3" s="3">
        <v>45247</v>
      </c>
      <c r="B3" s="4">
        <v>0.41388888888888886</v>
      </c>
      <c r="C3" t="s">
        <v>22</v>
      </c>
      <c r="D3" t="s">
        <v>23</v>
      </c>
      <c r="E3">
        <v>16.997533333300002</v>
      </c>
      <c r="F3">
        <v>-61.791933333300001</v>
      </c>
      <c r="I3" s="5" t="s">
        <v>32</v>
      </c>
      <c r="J3" t="s">
        <v>25</v>
      </c>
      <c r="K3" t="s">
        <v>26</v>
      </c>
      <c r="L3" t="s">
        <v>27</v>
      </c>
      <c r="M3" t="s">
        <v>28</v>
      </c>
      <c r="N3" s="6">
        <v>153</v>
      </c>
      <c r="O3" s="7">
        <v>129</v>
      </c>
      <c r="P3" s="7">
        <v>117</v>
      </c>
      <c r="Q3" s="8" t="s">
        <v>33</v>
      </c>
      <c r="R3" s="8" t="s">
        <v>30</v>
      </c>
      <c r="S3" s="7" t="s">
        <v>31</v>
      </c>
      <c r="T3" s="8" t="s">
        <v>28</v>
      </c>
    </row>
    <row r="4" spans="1:34" ht="15.75" customHeight="1" x14ac:dyDescent="0.15">
      <c r="A4" s="3">
        <v>45247</v>
      </c>
      <c r="B4" s="4">
        <v>0.45833333333333331</v>
      </c>
      <c r="C4" t="s">
        <v>22</v>
      </c>
      <c r="D4" t="s">
        <v>23</v>
      </c>
      <c r="E4">
        <v>16.997533333300002</v>
      </c>
      <c r="F4">
        <v>-61.791933333300001</v>
      </c>
      <c r="I4" s="5" t="s">
        <v>34</v>
      </c>
      <c r="J4" t="s">
        <v>25</v>
      </c>
      <c r="K4" t="s">
        <v>26</v>
      </c>
      <c r="L4" t="s">
        <v>27</v>
      </c>
      <c r="M4" t="s">
        <v>28</v>
      </c>
      <c r="N4" s="6">
        <v>167</v>
      </c>
      <c r="O4" s="7">
        <v>140</v>
      </c>
      <c r="P4" s="7">
        <v>123</v>
      </c>
      <c r="Q4" s="8" t="s">
        <v>35</v>
      </c>
      <c r="R4" s="8" t="s">
        <v>30</v>
      </c>
      <c r="S4" s="7" t="s">
        <v>31</v>
      </c>
      <c r="T4" s="8" t="s">
        <v>28</v>
      </c>
    </row>
    <row r="5" spans="1:34" ht="15.75" customHeight="1" x14ac:dyDescent="0.15">
      <c r="A5" s="3">
        <v>45247</v>
      </c>
      <c r="B5" s="4">
        <v>0.60416666666666663</v>
      </c>
      <c r="C5" t="s">
        <v>22</v>
      </c>
      <c r="D5" t="s">
        <v>36</v>
      </c>
      <c r="I5" s="5" t="s">
        <v>37</v>
      </c>
      <c r="J5" t="s">
        <v>38</v>
      </c>
      <c r="K5" t="s">
        <v>39</v>
      </c>
      <c r="L5" t="s">
        <v>27</v>
      </c>
      <c r="M5" t="s">
        <v>28</v>
      </c>
      <c r="N5" s="6">
        <v>340</v>
      </c>
      <c r="O5" s="7">
        <v>289</v>
      </c>
      <c r="P5" s="7">
        <v>270</v>
      </c>
      <c r="Q5" s="8" t="s">
        <v>40</v>
      </c>
      <c r="R5" s="8" t="s">
        <v>30</v>
      </c>
      <c r="S5" s="7" t="s">
        <v>31</v>
      </c>
      <c r="T5" s="8" t="s">
        <v>28</v>
      </c>
    </row>
    <row r="6" spans="1:34" ht="15.75" customHeight="1" x14ac:dyDescent="0.15">
      <c r="A6" s="3">
        <v>45248</v>
      </c>
      <c r="B6" s="4">
        <v>0.51736111111111116</v>
      </c>
      <c r="C6" t="s">
        <v>22</v>
      </c>
      <c r="D6" t="s">
        <v>23</v>
      </c>
      <c r="E6">
        <v>16.997533333300002</v>
      </c>
      <c r="F6">
        <v>-61.791933333300001</v>
      </c>
      <c r="I6" s="5" t="s">
        <v>41</v>
      </c>
      <c r="J6" t="s">
        <v>25</v>
      </c>
      <c r="K6" t="s">
        <v>26</v>
      </c>
      <c r="L6" t="s">
        <v>27</v>
      </c>
      <c r="M6" t="s">
        <v>28</v>
      </c>
      <c r="N6" s="6">
        <v>180</v>
      </c>
      <c r="O6" s="7">
        <v>152</v>
      </c>
      <c r="P6" s="7">
        <v>142</v>
      </c>
      <c r="Q6" s="8" t="s">
        <v>42</v>
      </c>
      <c r="R6" s="8" t="s">
        <v>30</v>
      </c>
      <c r="S6" s="7" t="s">
        <v>31</v>
      </c>
      <c r="T6" s="8" t="s">
        <v>28</v>
      </c>
    </row>
    <row r="7" spans="1:34" ht="15.75" customHeight="1" x14ac:dyDescent="0.15">
      <c r="A7" s="3">
        <v>45248</v>
      </c>
      <c r="B7" s="4">
        <v>0.54791666666666672</v>
      </c>
      <c r="C7" t="s">
        <v>22</v>
      </c>
      <c r="D7" t="s">
        <v>23</v>
      </c>
      <c r="E7">
        <v>16.997533333300002</v>
      </c>
      <c r="F7">
        <v>-61.791933333300001</v>
      </c>
      <c r="I7" s="5" t="s">
        <v>43</v>
      </c>
      <c r="J7" t="s">
        <v>25</v>
      </c>
      <c r="K7" t="s">
        <v>26</v>
      </c>
      <c r="L7" t="s">
        <v>27</v>
      </c>
      <c r="M7" t="s">
        <v>28</v>
      </c>
      <c r="N7" s="6">
        <v>214</v>
      </c>
      <c r="O7" s="7">
        <v>172</v>
      </c>
      <c r="P7" s="7">
        <v>158</v>
      </c>
      <c r="Q7" s="8" t="s">
        <v>44</v>
      </c>
      <c r="R7" s="8" t="s">
        <v>30</v>
      </c>
      <c r="S7" s="7" t="s">
        <v>31</v>
      </c>
      <c r="T7" s="8" t="s">
        <v>28</v>
      </c>
    </row>
    <row r="8" spans="1:34" ht="15.75" customHeight="1" x14ac:dyDescent="0.15">
      <c r="A8" s="9">
        <v>45276</v>
      </c>
      <c r="B8" s="10">
        <v>0.72430555555555554</v>
      </c>
      <c r="C8" t="s">
        <v>45</v>
      </c>
      <c r="D8" t="s">
        <v>46</v>
      </c>
      <c r="E8" s="11">
        <v>17.57545</v>
      </c>
      <c r="F8" s="11">
        <v>-61.844949999999997</v>
      </c>
      <c r="I8" s="12" t="s">
        <v>47</v>
      </c>
      <c r="J8" t="s">
        <v>38</v>
      </c>
      <c r="K8" t="s">
        <v>39</v>
      </c>
      <c r="L8" t="s">
        <v>27</v>
      </c>
      <c r="M8" t="s">
        <v>28</v>
      </c>
      <c r="N8" s="6">
        <v>229</v>
      </c>
      <c r="O8" s="7">
        <v>189</v>
      </c>
      <c r="P8" s="7">
        <v>168</v>
      </c>
      <c r="Q8" s="8" t="s">
        <v>48</v>
      </c>
      <c r="R8" s="7" t="s">
        <v>30</v>
      </c>
      <c r="S8" s="7" t="s">
        <v>30</v>
      </c>
      <c r="T8" s="8" t="s">
        <v>49</v>
      </c>
    </row>
    <row r="9" spans="1:34" ht="15.75" customHeight="1" x14ac:dyDescent="0.15">
      <c r="A9" s="9">
        <v>45278</v>
      </c>
      <c r="B9" s="10">
        <v>0.44374999999999998</v>
      </c>
      <c r="C9" t="s">
        <v>22</v>
      </c>
      <c r="D9" t="s">
        <v>23</v>
      </c>
      <c r="E9">
        <v>16.997533333300002</v>
      </c>
      <c r="F9">
        <v>-61.791933333300001</v>
      </c>
      <c r="I9" s="5" t="s">
        <v>50</v>
      </c>
      <c r="J9" t="s">
        <v>25</v>
      </c>
      <c r="K9" t="s">
        <v>26</v>
      </c>
      <c r="L9" t="s">
        <v>51</v>
      </c>
      <c r="M9" t="s">
        <v>28</v>
      </c>
      <c r="N9" s="6">
        <v>172</v>
      </c>
      <c r="O9" s="7">
        <v>148</v>
      </c>
      <c r="P9" s="7">
        <v>134</v>
      </c>
      <c r="Q9" s="8" t="s">
        <v>52</v>
      </c>
      <c r="R9" s="7" t="s">
        <v>30</v>
      </c>
      <c r="S9" s="7" t="s">
        <v>30</v>
      </c>
      <c r="T9" s="8" t="s">
        <v>53</v>
      </c>
      <c r="U9" t="s">
        <v>54</v>
      </c>
    </row>
    <row r="10" spans="1:34" ht="15.75" customHeight="1" x14ac:dyDescent="0.15">
      <c r="A10" s="11" t="s">
        <v>55</v>
      </c>
      <c r="B10" s="11"/>
      <c r="C10" s="11"/>
      <c r="D10" s="11"/>
      <c r="E10" s="13">
        <v>17.164166666700002</v>
      </c>
      <c r="F10" s="11">
        <v>-61.798083333299999</v>
      </c>
      <c r="G10" s="11"/>
      <c r="H10" s="11"/>
      <c r="I10" s="12"/>
      <c r="J10" s="11" t="s">
        <v>25</v>
      </c>
      <c r="K10" s="11" t="s">
        <v>26</v>
      </c>
      <c r="L10" s="11" t="s">
        <v>27</v>
      </c>
      <c r="M10" s="11" t="s">
        <v>28</v>
      </c>
      <c r="N10" s="14"/>
      <c r="O10" s="14"/>
      <c r="P10" s="14"/>
      <c r="Q10" s="15"/>
      <c r="R10" s="14"/>
      <c r="S10" s="14" t="s">
        <v>30</v>
      </c>
      <c r="T10" s="15" t="s">
        <v>56</v>
      </c>
      <c r="U10" s="11" t="s">
        <v>57</v>
      </c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</row>
    <row r="11" spans="1:34" ht="15.75" customHeight="1" x14ac:dyDescent="0.15">
      <c r="A11" s="9">
        <v>45278</v>
      </c>
      <c r="B11" s="10">
        <v>0.6791666666666667</v>
      </c>
      <c r="C11" t="s">
        <v>22</v>
      </c>
      <c r="D11" t="s">
        <v>36</v>
      </c>
      <c r="E11">
        <v>17.031949999999998</v>
      </c>
      <c r="F11">
        <v>-61.911749999999998</v>
      </c>
      <c r="I11" s="5" t="s">
        <v>58</v>
      </c>
      <c r="J11" t="s">
        <v>38</v>
      </c>
      <c r="K11" t="s">
        <v>39</v>
      </c>
      <c r="L11" t="s">
        <v>27</v>
      </c>
      <c r="M11" t="s">
        <v>28</v>
      </c>
      <c r="N11" s="6">
        <v>251</v>
      </c>
      <c r="O11" s="7">
        <v>196</v>
      </c>
      <c r="P11" s="7">
        <v>192</v>
      </c>
      <c r="Q11" s="8" t="s">
        <v>59</v>
      </c>
      <c r="R11" s="7" t="s">
        <v>30</v>
      </c>
      <c r="S11" s="7" t="s">
        <v>30</v>
      </c>
      <c r="T11" s="8" t="s">
        <v>60</v>
      </c>
      <c r="U11" t="s">
        <v>61</v>
      </c>
    </row>
    <row r="12" spans="1:34" ht="15.75" customHeight="1" x14ac:dyDescent="0.15">
      <c r="A12" s="16">
        <v>45829</v>
      </c>
      <c r="B12" s="17">
        <v>0.5625</v>
      </c>
      <c r="C12" s="18" t="s">
        <v>22</v>
      </c>
      <c r="D12" s="18" t="s">
        <v>36</v>
      </c>
      <c r="E12" s="18">
        <v>17.035260000000001</v>
      </c>
      <c r="F12" s="18">
        <v>-61.918419999999998</v>
      </c>
      <c r="G12" s="19" t="s">
        <v>62</v>
      </c>
      <c r="H12" s="19" t="s">
        <v>63</v>
      </c>
      <c r="I12" s="20" t="s">
        <v>64</v>
      </c>
      <c r="J12" s="18" t="s">
        <v>38</v>
      </c>
      <c r="K12" s="18" t="s">
        <v>39</v>
      </c>
      <c r="L12" s="18" t="s">
        <v>27</v>
      </c>
      <c r="M12" s="18" t="s">
        <v>28</v>
      </c>
      <c r="N12" s="18">
        <v>262</v>
      </c>
      <c r="O12" s="18">
        <v>215</v>
      </c>
      <c r="P12" s="18">
        <v>196</v>
      </c>
      <c r="Q12" s="20" t="s">
        <v>65</v>
      </c>
      <c r="R12" s="21" t="s">
        <v>30</v>
      </c>
      <c r="S12" s="21" t="s">
        <v>30</v>
      </c>
      <c r="T12" s="20">
        <v>283833</v>
      </c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</row>
    <row r="13" spans="1:34" ht="15.75" customHeight="1" x14ac:dyDescent="0.15">
      <c r="A13" s="16">
        <v>45830</v>
      </c>
      <c r="B13" s="10">
        <v>0.35486111111111113</v>
      </c>
      <c r="C13" s="18" t="s">
        <v>22</v>
      </c>
      <c r="D13" t="s">
        <v>36</v>
      </c>
      <c r="E13">
        <v>17.032959999999999</v>
      </c>
      <c r="F13">
        <v>-61.913879999999999</v>
      </c>
      <c r="G13" s="22" t="s">
        <v>62</v>
      </c>
      <c r="H13" s="22" t="s">
        <v>66</v>
      </c>
      <c r="I13" s="8" t="s">
        <v>67</v>
      </c>
      <c r="J13" t="s">
        <v>68</v>
      </c>
      <c r="K13" t="s">
        <v>69</v>
      </c>
      <c r="L13" t="s">
        <v>27</v>
      </c>
      <c r="M13" t="s">
        <v>28</v>
      </c>
      <c r="N13">
        <v>118</v>
      </c>
      <c r="O13">
        <v>102</v>
      </c>
      <c r="P13">
        <v>87</v>
      </c>
      <c r="Q13" s="8" t="s">
        <v>70</v>
      </c>
      <c r="R13" s="7" t="s">
        <v>30</v>
      </c>
      <c r="S13" s="7" t="s">
        <v>31</v>
      </c>
      <c r="T13" s="8" t="s">
        <v>28</v>
      </c>
    </row>
    <row r="14" spans="1:34" ht="15.75" customHeight="1" x14ac:dyDescent="0.15">
      <c r="A14" s="16">
        <v>45830</v>
      </c>
      <c r="B14" s="10">
        <v>0.62986111111111109</v>
      </c>
      <c r="C14" s="18" t="s">
        <v>22</v>
      </c>
      <c r="D14" t="s">
        <v>36</v>
      </c>
      <c r="E14">
        <v>17.035350000000001</v>
      </c>
      <c r="F14">
        <v>-61.91845</v>
      </c>
      <c r="G14" s="22" t="s">
        <v>62</v>
      </c>
      <c r="H14" s="22" t="s">
        <v>71</v>
      </c>
      <c r="I14" s="8" t="s">
        <v>72</v>
      </c>
      <c r="J14" t="s">
        <v>38</v>
      </c>
      <c r="K14" t="s">
        <v>39</v>
      </c>
      <c r="L14" t="s">
        <v>27</v>
      </c>
      <c r="M14" t="s">
        <v>28</v>
      </c>
      <c r="N14">
        <v>292</v>
      </c>
      <c r="O14">
        <v>258</v>
      </c>
      <c r="P14">
        <v>245</v>
      </c>
      <c r="Q14" s="8" t="s">
        <v>73</v>
      </c>
      <c r="R14" s="7" t="s">
        <v>30</v>
      </c>
      <c r="S14" s="7" t="s">
        <v>30</v>
      </c>
      <c r="T14" s="8">
        <v>260593</v>
      </c>
    </row>
    <row r="15" spans="1:34" ht="15.75" customHeight="1" x14ac:dyDescent="0.15">
      <c r="A15" s="16">
        <v>45833</v>
      </c>
      <c r="B15" s="10">
        <v>0.36319444444444443</v>
      </c>
      <c r="C15" s="18" t="s">
        <v>22</v>
      </c>
      <c r="D15" t="s">
        <v>36</v>
      </c>
      <c r="E15">
        <v>17.03425</v>
      </c>
      <c r="F15">
        <v>-61.913159999999998</v>
      </c>
      <c r="G15" s="22" t="s">
        <v>28</v>
      </c>
      <c r="H15" s="22"/>
      <c r="I15" s="8" t="s">
        <v>74</v>
      </c>
      <c r="J15" t="s">
        <v>38</v>
      </c>
      <c r="K15" t="s">
        <v>39</v>
      </c>
      <c r="L15" t="s">
        <v>27</v>
      </c>
      <c r="M15" t="s">
        <v>28</v>
      </c>
      <c r="N15">
        <v>249</v>
      </c>
      <c r="O15">
        <v>236</v>
      </c>
      <c r="P15">
        <v>183</v>
      </c>
      <c r="Q15" s="8" t="s">
        <v>75</v>
      </c>
      <c r="R15" s="7" t="s">
        <v>30</v>
      </c>
      <c r="S15" s="7" t="s">
        <v>30</v>
      </c>
      <c r="T15" s="8">
        <v>26354</v>
      </c>
    </row>
    <row r="16" spans="1:34" ht="15.75" customHeight="1" x14ac:dyDescent="0.15">
      <c r="A16" s="16">
        <v>45833</v>
      </c>
      <c r="B16" s="10">
        <v>0.375</v>
      </c>
      <c r="C16" s="18" t="s">
        <v>22</v>
      </c>
      <c r="D16" t="s">
        <v>36</v>
      </c>
      <c r="E16">
        <v>17.03425</v>
      </c>
      <c r="F16">
        <v>-61.913159999999998</v>
      </c>
      <c r="G16" s="22" t="s">
        <v>28</v>
      </c>
      <c r="H16" s="22"/>
      <c r="I16" s="8" t="s">
        <v>76</v>
      </c>
      <c r="J16" t="s">
        <v>68</v>
      </c>
      <c r="K16" t="s">
        <v>69</v>
      </c>
      <c r="L16" t="s">
        <v>27</v>
      </c>
      <c r="M16" t="s">
        <v>28</v>
      </c>
      <c r="N16">
        <v>85</v>
      </c>
      <c r="O16">
        <v>70</v>
      </c>
      <c r="P16">
        <v>62</v>
      </c>
      <c r="Q16" s="8" t="s">
        <v>77</v>
      </c>
      <c r="R16" s="7" t="s">
        <v>30</v>
      </c>
      <c r="S16" s="7" t="s">
        <v>31</v>
      </c>
      <c r="T16" s="8" t="s">
        <v>28</v>
      </c>
    </row>
    <row r="17" spans="1:21" ht="15.75" customHeight="1" x14ac:dyDescent="0.15">
      <c r="A17" s="16">
        <v>45833</v>
      </c>
      <c r="B17" s="10">
        <v>0.4201388888888889</v>
      </c>
      <c r="C17" s="18" t="s">
        <v>22</v>
      </c>
      <c r="D17" t="s">
        <v>36</v>
      </c>
      <c r="E17">
        <v>17.03425</v>
      </c>
      <c r="F17">
        <v>-61.913159999999998</v>
      </c>
      <c r="G17" s="22" t="s">
        <v>28</v>
      </c>
      <c r="H17" s="22"/>
      <c r="I17" s="8" t="s">
        <v>78</v>
      </c>
      <c r="J17" t="s">
        <v>68</v>
      </c>
      <c r="K17" t="s">
        <v>69</v>
      </c>
      <c r="L17" t="s">
        <v>51</v>
      </c>
      <c r="M17" t="s">
        <v>79</v>
      </c>
      <c r="N17">
        <v>155</v>
      </c>
      <c r="O17">
        <v>123</v>
      </c>
      <c r="P17">
        <v>110</v>
      </c>
      <c r="Q17" s="8" t="s">
        <v>80</v>
      </c>
      <c r="R17" s="7" t="s">
        <v>30</v>
      </c>
      <c r="S17" s="7" t="s">
        <v>31</v>
      </c>
      <c r="T17" s="8" t="s">
        <v>28</v>
      </c>
    </row>
    <row r="18" spans="1:21" ht="15.75" customHeight="1" x14ac:dyDescent="0.15">
      <c r="A18" s="16">
        <v>45834</v>
      </c>
      <c r="B18" s="10">
        <v>0.72222222222222221</v>
      </c>
      <c r="C18" s="18" t="s">
        <v>22</v>
      </c>
      <c r="D18" t="s">
        <v>36</v>
      </c>
      <c r="E18">
        <v>17.033259999999999</v>
      </c>
      <c r="F18">
        <v>-61.91339</v>
      </c>
      <c r="G18" s="22" t="s">
        <v>81</v>
      </c>
      <c r="H18" s="22"/>
      <c r="I18" s="8" t="s">
        <v>82</v>
      </c>
      <c r="J18" t="s">
        <v>38</v>
      </c>
      <c r="K18" t="s">
        <v>39</v>
      </c>
      <c r="L18" t="s">
        <v>27</v>
      </c>
      <c r="M18" t="s">
        <v>28</v>
      </c>
      <c r="N18">
        <v>337</v>
      </c>
      <c r="O18">
        <v>263</v>
      </c>
      <c r="P18">
        <v>252</v>
      </c>
      <c r="Q18" s="8" t="s">
        <v>83</v>
      </c>
      <c r="R18" s="7" t="s">
        <v>30</v>
      </c>
      <c r="S18" s="7" t="s">
        <v>30</v>
      </c>
      <c r="T18" s="8">
        <v>36353</v>
      </c>
    </row>
    <row r="19" spans="1:21" ht="15.75" customHeight="1" x14ac:dyDescent="0.15">
      <c r="A19" s="16">
        <v>45835</v>
      </c>
      <c r="B19" s="10">
        <v>0.49305555555555558</v>
      </c>
      <c r="C19" s="18" t="s">
        <v>22</v>
      </c>
      <c r="D19" t="s">
        <v>36</v>
      </c>
      <c r="E19">
        <v>17.033580000000001</v>
      </c>
      <c r="F19">
        <v>-61.915900000000001</v>
      </c>
      <c r="G19" s="22" t="s">
        <v>28</v>
      </c>
      <c r="H19" s="22"/>
      <c r="I19" s="8" t="s">
        <v>84</v>
      </c>
      <c r="J19" t="s">
        <v>68</v>
      </c>
      <c r="K19" t="s">
        <v>69</v>
      </c>
      <c r="L19" t="s">
        <v>27</v>
      </c>
      <c r="M19" t="s">
        <v>28</v>
      </c>
      <c r="N19">
        <v>205</v>
      </c>
      <c r="O19">
        <v>164</v>
      </c>
      <c r="P19">
        <v>155</v>
      </c>
      <c r="Q19" s="8" t="s">
        <v>85</v>
      </c>
      <c r="R19" s="7" t="s">
        <v>30</v>
      </c>
      <c r="S19" s="7" t="s">
        <v>31</v>
      </c>
      <c r="T19" s="8" t="s">
        <v>28</v>
      </c>
    </row>
    <row r="20" spans="1:21" ht="15.75" customHeight="1" x14ac:dyDescent="0.15">
      <c r="A20" s="16">
        <v>45835</v>
      </c>
      <c r="B20" s="10">
        <v>0.64166666666666672</v>
      </c>
      <c r="C20" s="18" t="s">
        <v>22</v>
      </c>
      <c r="D20" t="s">
        <v>36</v>
      </c>
      <c r="E20">
        <v>17.05387</v>
      </c>
      <c r="F20">
        <v>-61.915770000000002</v>
      </c>
      <c r="G20" s="22" t="s">
        <v>28</v>
      </c>
      <c r="H20" s="22"/>
      <c r="I20" s="8" t="s">
        <v>28</v>
      </c>
      <c r="J20" t="s">
        <v>38</v>
      </c>
      <c r="K20" t="s">
        <v>39</v>
      </c>
      <c r="L20" t="s">
        <v>27</v>
      </c>
      <c r="M20" t="s">
        <v>28</v>
      </c>
      <c r="N20">
        <f>75*2</f>
        <v>150</v>
      </c>
      <c r="O20" s="7" t="s">
        <v>28</v>
      </c>
      <c r="P20" s="7" t="s">
        <v>28</v>
      </c>
      <c r="Q20" s="8" t="s">
        <v>28</v>
      </c>
      <c r="R20" s="7" t="s">
        <v>30</v>
      </c>
      <c r="S20" s="7" t="s">
        <v>31</v>
      </c>
      <c r="T20" s="38" t="s">
        <v>28</v>
      </c>
      <c r="U20" s="23" t="s">
        <v>86</v>
      </c>
    </row>
    <row r="22" spans="1:21" ht="15.75" customHeight="1" x14ac:dyDescent="0.15">
      <c r="E22" s="24"/>
    </row>
    <row r="23" spans="1:21" ht="15.75" customHeight="1" x14ac:dyDescent="0.15">
      <c r="E23" s="24"/>
    </row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  <row r="983" ht="13" x14ac:dyDescent="0.15"/>
    <row r="984" ht="13" x14ac:dyDescent="0.15"/>
    <row r="985" ht="13" x14ac:dyDescent="0.15"/>
    <row r="986" ht="13" x14ac:dyDescent="0.15"/>
    <row r="987" ht="13" x14ac:dyDescent="0.15"/>
    <row r="988" ht="13" x14ac:dyDescent="0.15"/>
    <row r="989" ht="13" x14ac:dyDescent="0.15"/>
    <row r="990" ht="13" x14ac:dyDescent="0.15"/>
    <row r="991" ht="13" x14ac:dyDescent="0.15"/>
    <row r="992" ht="13" x14ac:dyDescent="0.15"/>
    <row r="993" ht="13" x14ac:dyDescent="0.15"/>
    <row r="994" ht="13" x14ac:dyDescent="0.15"/>
    <row r="995" ht="13" x14ac:dyDescent="0.15"/>
    <row r="996" ht="13" x14ac:dyDescent="0.15"/>
    <row r="997" ht="13" x14ac:dyDescent="0.15"/>
    <row r="998" ht="13" x14ac:dyDescent="0.15"/>
    <row r="999" ht="13" x14ac:dyDescent="0.15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B10"/>
  <sheetViews>
    <sheetView workbookViewId="0"/>
  </sheetViews>
  <sheetFormatPr baseColWidth="10" defaultColWidth="12.6640625" defaultRowHeight="15.75" customHeight="1" x14ac:dyDescent="0.15"/>
  <sheetData>
    <row r="1" spans="1:28" ht="15.75" customHeight="1" x14ac:dyDescent="0.15">
      <c r="A1" s="25" t="s">
        <v>0</v>
      </c>
      <c r="B1" s="25" t="s">
        <v>2</v>
      </c>
      <c r="C1" s="25" t="s">
        <v>3</v>
      </c>
      <c r="D1" s="25" t="s">
        <v>87</v>
      </c>
      <c r="E1" s="25" t="s">
        <v>88</v>
      </c>
      <c r="F1" s="25" t="s">
        <v>89</v>
      </c>
      <c r="G1" s="25" t="s">
        <v>90</v>
      </c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pans="1:28" ht="15.75" customHeight="1" x14ac:dyDescent="0.15">
      <c r="A2" s="26">
        <v>45829</v>
      </c>
      <c r="B2" s="27" t="s">
        <v>22</v>
      </c>
      <c r="C2" s="27" t="s">
        <v>36</v>
      </c>
      <c r="D2" s="28">
        <v>0.42777777777777776</v>
      </c>
      <c r="E2" s="28">
        <v>0.5625</v>
      </c>
      <c r="F2" s="28">
        <f t="shared" ref="F2:F10" si="0">E2-D2</f>
        <v>0.13472222222222224</v>
      </c>
      <c r="G2" s="27">
        <v>1</v>
      </c>
    </row>
    <row r="3" spans="1:28" ht="15.75" customHeight="1" x14ac:dyDescent="0.15">
      <c r="A3" s="26">
        <v>45829</v>
      </c>
      <c r="B3" s="27" t="s">
        <v>22</v>
      </c>
      <c r="C3" s="27" t="s">
        <v>36</v>
      </c>
      <c r="D3" s="28">
        <v>0.42777777777777776</v>
      </c>
      <c r="E3" s="28">
        <v>0.6694444444444444</v>
      </c>
      <c r="F3" s="28">
        <f t="shared" si="0"/>
        <v>0.24166666666666664</v>
      </c>
      <c r="G3" s="27">
        <v>3</v>
      </c>
    </row>
    <row r="4" spans="1:28" ht="15.75" customHeight="1" x14ac:dyDescent="0.15">
      <c r="A4" s="26">
        <v>45830</v>
      </c>
      <c r="B4" s="27" t="s">
        <v>22</v>
      </c>
      <c r="C4" s="27" t="s">
        <v>36</v>
      </c>
      <c r="D4" s="28">
        <v>0.28472222222222221</v>
      </c>
      <c r="E4" s="28">
        <v>0.35416666666666669</v>
      </c>
      <c r="F4" s="28">
        <f t="shared" si="0"/>
        <v>6.9444444444444475E-2</v>
      </c>
      <c r="G4" s="27">
        <v>1</v>
      </c>
    </row>
    <row r="5" spans="1:28" ht="15.75" customHeight="1" x14ac:dyDescent="0.15">
      <c r="A5" s="26">
        <v>45830</v>
      </c>
      <c r="B5" s="27" t="s">
        <v>22</v>
      </c>
      <c r="C5" s="27" t="s">
        <v>36</v>
      </c>
      <c r="D5" s="28">
        <v>0.28472222222222221</v>
      </c>
      <c r="E5" s="28">
        <v>0.54305555555555551</v>
      </c>
      <c r="F5" s="28">
        <f t="shared" si="0"/>
        <v>0.2583333333333333</v>
      </c>
      <c r="G5" s="27">
        <v>3</v>
      </c>
    </row>
    <row r="6" spans="1:28" ht="15.75" customHeight="1" x14ac:dyDescent="0.15">
      <c r="A6" s="26">
        <v>45831</v>
      </c>
      <c r="B6" s="27" t="s">
        <v>22</v>
      </c>
      <c r="C6" s="27" t="s">
        <v>36</v>
      </c>
      <c r="D6" s="28">
        <v>0.48541666666666666</v>
      </c>
      <c r="E6" s="28">
        <v>0.66249999999999998</v>
      </c>
      <c r="F6" s="28">
        <f t="shared" si="0"/>
        <v>0.17708333333333331</v>
      </c>
      <c r="G6" s="27">
        <v>1</v>
      </c>
    </row>
    <row r="7" spans="1:28" ht="15.75" customHeight="1" x14ac:dyDescent="0.15">
      <c r="A7" s="26">
        <v>45831</v>
      </c>
      <c r="B7" s="27" t="s">
        <v>22</v>
      </c>
      <c r="C7" s="27" t="s">
        <v>36</v>
      </c>
      <c r="D7" s="28">
        <v>0.48541666666666666</v>
      </c>
      <c r="E7" s="28">
        <v>0.75138888888888888</v>
      </c>
      <c r="F7" s="28">
        <f t="shared" si="0"/>
        <v>0.26597222222222222</v>
      </c>
      <c r="G7" s="27">
        <v>3</v>
      </c>
    </row>
    <row r="8" spans="1:28" ht="15.75" customHeight="1" x14ac:dyDescent="0.15">
      <c r="A8" s="26">
        <v>45833</v>
      </c>
      <c r="B8" s="27" t="s">
        <v>22</v>
      </c>
      <c r="C8" s="27" t="s">
        <v>36</v>
      </c>
      <c r="D8" s="28">
        <v>0.29652777777777778</v>
      </c>
      <c r="E8" s="28">
        <v>0.59375</v>
      </c>
      <c r="F8" s="28">
        <f t="shared" si="0"/>
        <v>0.29722222222222222</v>
      </c>
      <c r="G8" s="27">
        <v>4</v>
      </c>
    </row>
    <row r="9" spans="1:28" ht="15.75" customHeight="1" x14ac:dyDescent="0.15">
      <c r="A9" s="26">
        <v>45834</v>
      </c>
      <c r="B9" s="27" t="s">
        <v>22</v>
      </c>
      <c r="C9" s="27" t="s">
        <v>36</v>
      </c>
      <c r="D9" s="28">
        <v>0.3263888888888889</v>
      </c>
      <c r="E9" s="28">
        <v>0.71736111111111112</v>
      </c>
      <c r="F9" s="28">
        <f t="shared" si="0"/>
        <v>0.39097222222222222</v>
      </c>
      <c r="G9" s="27">
        <v>4</v>
      </c>
    </row>
    <row r="10" spans="1:28" ht="15.75" customHeight="1" x14ac:dyDescent="0.15">
      <c r="A10" s="26">
        <v>45835</v>
      </c>
      <c r="B10" s="27" t="s">
        <v>22</v>
      </c>
      <c r="C10" s="27" t="s">
        <v>36</v>
      </c>
      <c r="D10" s="28">
        <v>0.42708333333333331</v>
      </c>
      <c r="E10" s="28">
        <v>0.64583333333333337</v>
      </c>
      <c r="F10" s="28">
        <f t="shared" si="0"/>
        <v>0.21875000000000006</v>
      </c>
      <c r="G10" s="27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W5"/>
  <sheetViews>
    <sheetView workbookViewId="0"/>
  </sheetViews>
  <sheetFormatPr baseColWidth="10" defaultColWidth="12.6640625" defaultRowHeight="15.75" customHeight="1" x14ac:dyDescent="0.15"/>
  <cols>
    <col min="1" max="1" width="16" customWidth="1"/>
    <col min="6" max="6" width="14.1640625" customWidth="1"/>
  </cols>
  <sheetData>
    <row r="1" spans="1:23" ht="13" x14ac:dyDescent="0.15">
      <c r="A1" s="29" t="s">
        <v>91</v>
      </c>
      <c r="B1" s="29" t="s">
        <v>1</v>
      </c>
      <c r="C1" s="29" t="s">
        <v>92</v>
      </c>
      <c r="D1" s="29" t="s">
        <v>3</v>
      </c>
      <c r="E1" s="29" t="s">
        <v>93</v>
      </c>
      <c r="F1" s="29" t="s">
        <v>94</v>
      </c>
      <c r="G1" s="29" t="s">
        <v>95</v>
      </c>
      <c r="H1" s="29" t="s">
        <v>11</v>
      </c>
      <c r="I1" s="6" t="s">
        <v>96</v>
      </c>
      <c r="J1" s="29" t="s">
        <v>97</v>
      </c>
      <c r="K1" s="29"/>
      <c r="L1" s="29"/>
      <c r="M1" s="29"/>
      <c r="N1" s="29"/>
      <c r="O1" s="29"/>
      <c r="P1" s="29"/>
      <c r="Q1" s="29"/>
      <c r="R1" s="29"/>
      <c r="S1" s="29"/>
      <c r="T1" s="29"/>
      <c r="U1" s="18"/>
      <c r="V1" s="18"/>
      <c r="W1" s="18"/>
    </row>
    <row r="2" spans="1:23" ht="13" x14ac:dyDescent="0.15">
      <c r="A2" s="30">
        <v>45829</v>
      </c>
      <c r="B2" s="31">
        <v>0.5625</v>
      </c>
      <c r="C2" s="29" t="s">
        <v>22</v>
      </c>
      <c r="D2" s="29" t="s">
        <v>36</v>
      </c>
      <c r="E2" s="29">
        <v>17.035260000000001</v>
      </c>
      <c r="F2" s="29">
        <v>-61.918419999999998</v>
      </c>
      <c r="G2" s="29" t="s">
        <v>39</v>
      </c>
      <c r="H2" s="29" t="s">
        <v>27</v>
      </c>
      <c r="I2" s="6" t="s">
        <v>98</v>
      </c>
      <c r="J2" s="29" t="s">
        <v>99</v>
      </c>
      <c r="K2" s="29"/>
      <c r="L2" s="29"/>
      <c r="M2" s="29"/>
      <c r="N2" s="29"/>
      <c r="O2" s="29"/>
      <c r="P2" s="29"/>
      <c r="Q2" s="29"/>
      <c r="R2" s="29"/>
      <c r="S2" s="29"/>
      <c r="T2" s="29"/>
      <c r="U2" s="18"/>
      <c r="V2" s="18"/>
      <c r="W2" s="18"/>
    </row>
    <row r="3" spans="1:23" ht="13" x14ac:dyDescent="0.15">
      <c r="A3" s="30">
        <v>45830</v>
      </c>
      <c r="B3" s="31">
        <v>0.62986111111111109</v>
      </c>
      <c r="C3" s="29" t="s">
        <v>22</v>
      </c>
      <c r="D3" s="29" t="s">
        <v>36</v>
      </c>
      <c r="E3" s="29">
        <v>17.035350000000001</v>
      </c>
      <c r="F3" s="29">
        <v>-61.91845</v>
      </c>
      <c r="G3" s="29" t="s">
        <v>39</v>
      </c>
      <c r="H3" s="29" t="s">
        <v>27</v>
      </c>
      <c r="I3" s="6" t="s">
        <v>100</v>
      </c>
      <c r="J3" s="29" t="s">
        <v>99</v>
      </c>
      <c r="K3" s="29"/>
      <c r="L3" s="29"/>
      <c r="M3" s="29"/>
      <c r="N3" s="29"/>
      <c r="O3" s="29"/>
      <c r="P3" s="29"/>
      <c r="Q3" s="29"/>
      <c r="R3" s="29"/>
      <c r="S3" s="29"/>
      <c r="T3" s="29"/>
    </row>
    <row r="4" spans="1:23" ht="13" x14ac:dyDescent="0.15">
      <c r="A4" s="30">
        <v>45833</v>
      </c>
      <c r="B4" s="31">
        <v>0.36319444444444443</v>
      </c>
      <c r="C4" s="29" t="s">
        <v>22</v>
      </c>
      <c r="D4" s="29" t="s">
        <v>36</v>
      </c>
      <c r="E4" s="29">
        <v>17.03425</v>
      </c>
      <c r="F4" s="29">
        <v>-61.913159999999998</v>
      </c>
      <c r="G4" s="29" t="s">
        <v>39</v>
      </c>
      <c r="H4" s="29" t="s">
        <v>27</v>
      </c>
      <c r="I4" s="6" t="s">
        <v>101</v>
      </c>
      <c r="J4" s="29" t="s">
        <v>102</v>
      </c>
      <c r="K4" s="29"/>
      <c r="L4" s="29"/>
      <c r="M4" s="29"/>
      <c r="N4" s="29"/>
      <c r="O4" s="29"/>
      <c r="P4" s="29"/>
      <c r="Q4" s="29"/>
      <c r="R4" s="29"/>
      <c r="S4" s="29"/>
      <c r="T4" s="29"/>
    </row>
    <row r="5" spans="1:23" ht="16.5" customHeight="1" x14ac:dyDescent="0.15">
      <c r="A5" s="30">
        <v>45834</v>
      </c>
      <c r="B5" s="31">
        <v>0.72222222222222221</v>
      </c>
      <c r="C5" s="29" t="s">
        <v>22</v>
      </c>
      <c r="D5" s="29" t="s">
        <v>36</v>
      </c>
      <c r="E5" s="29">
        <v>17.033259999999999</v>
      </c>
      <c r="F5" s="29">
        <v>-61.91339</v>
      </c>
      <c r="G5" s="29" t="s">
        <v>39</v>
      </c>
      <c r="H5" s="29" t="s">
        <v>27</v>
      </c>
      <c r="I5" s="6" t="s">
        <v>103</v>
      </c>
      <c r="J5" s="29" t="s">
        <v>102</v>
      </c>
      <c r="K5" s="29"/>
      <c r="L5" s="29"/>
      <c r="M5" s="29"/>
      <c r="N5" s="29"/>
      <c r="O5" s="29"/>
      <c r="P5" s="29"/>
      <c r="Q5" s="29"/>
      <c r="R5" s="29"/>
      <c r="S5" s="29"/>
      <c r="T5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36"/>
  <sheetViews>
    <sheetView workbookViewId="0"/>
  </sheetViews>
  <sheetFormatPr baseColWidth="10" defaultColWidth="12.6640625" defaultRowHeight="15.75" customHeight="1" x14ac:dyDescent="0.15"/>
  <sheetData>
    <row r="1" spans="1:6" x14ac:dyDescent="0.2">
      <c r="A1" s="32" t="s">
        <v>96</v>
      </c>
      <c r="B1" s="33" t="s">
        <v>104</v>
      </c>
      <c r="C1" s="33" t="s">
        <v>105</v>
      </c>
      <c r="D1" s="33" t="s">
        <v>106</v>
      </c>
      <c r="E1" s="33" t="s">
        <v>107</v>
      </c>
      <c r="F1" s="34"/>
    </row>
    <row r="2" spans="1:6" x14ac:dyDescent="0.2">
      <c r="A2" s="34" t="s">
        <v>100</v>
      </c>
      <c r="B2" s="34" t="s">
        <v>108</v>
      </c>
      <c r="C2" s="35">
        <v>17.006900000000002</v>
      </c>
      <c r="D2" s="35">
        <v>-61.951799999999999</v>
      </c>
      <c r="E2" s="36">
        <v>45840</v>
      </c>
      <c r="F2" s="34"/>
    </row>
    <row r="3" spans="1:6" x14ac:dyDescent="0.2">
      <c r="A3" s="34" t="s">
        <v>100</v>
      </c>
      <c r="B3" s="34" t="s">
        <v>109</v>
      </c>
      <c r="C3" s="35">
        <v>16.996040000000001</v>
      </c>
      <c r="D3" s="35">
        <v>-61.981400000000001</v>
      </c>
      <c r="E3" s="36">
        <v>45843</v>
      </c>
      <c r="F3" s="34"/>
    </row>
    <row r="4" spans="1:6" x14ac:dyDescent="0.2">
      <c r="A4" s="34" t="s">
        <v>100</v>
      </c>
      <c r="B4" s="34" t="s">
        <v>110</v>
      </c>
      <c r="C4" s="35">
        <v>16.952259999999999</v>
      </c>
      <c r="D4" s="35">
        <v>-61.936100000000003</v>
      </c>
      <c r="E4" s="36">
        <v>45849</v>
      </c>
      <c r="F4" s="34"/>
    </row>
    <row r="5" spans="1:6" x14ac:dyDescent="0.2">
      <c r="A5" s="34" t="s">
        <v>100</v>
      </c>
      <c r="B5" s="34" t="s">
        <v>111</v>
      </c>
      <c r="C5" s="35">
        <v>16.9617</v>
      </c>
      <c r="D5" s="35">
        <v>-61.934199999999997</v>
      </c>
      <c r="E5" s="36">
        <v>45852</v>
      </c>
      <c r="F5" s="34"/>
    </row>
    <row r="6" spans="1:6" x14ac:dyDescent="0.2">
      <c r="A6" s="34" t="s">
        <v>100</v>
      </c>
      <c r="B6" s="34" t="s">
        <v>112</v>
      </c>
      <c r="C6" s="35">
        <v>16.93768</v>
      </c>
      <c r="D6" s="35">
        <v>-61.950099999999999</v>
      </c>
      <c r="E6" s="36">
        <v>45857</v>
      </c>
      <c r="F6" s="34"/>
    </row>
    <row r="7" spans="1:6" x14ac:dyDescent="0.2">
      <c r="A7" s="34" t="s">
        <v>100</v>
      </c>
      <c r="B7" s="34" t="s">
        <v>113</v>
      </c>
      <c r="C7" s="35">
        <v>16.97898</v>
      </c>
      <c r="D7" s="35">
        <v>-61.993200000000002</v>
      </c>
      <c r="E7" s="36">
        <v>45860</v>
      </c>
      <c r="F7" s="34"/>
    </row>
    <row r="8" spans="1:6" x14ac:dyDescent="0.2">
      <c r="A8" s="34" t="s">
        <v>100</v>
      </c>
      <c r="B8" s="34" t="s">
        <v>114</v>
      </c>
      <c r="C8" s="35">
        <v>16.953340000000001</v>
      </c>
      <c r="D8" s="35">
        <v>-62.020099999999999</v>
      </c>
      <c r="E8" s="36">
        <v>45865</v>
      </c>
      <c r="F8" s="34"/>
    </row>
    <row r="9" spans="1:6" x14ac:dyDescent="0.2">
      <c r="A9" s="34" t="s">
        <v>100</v>
      </c>
      <c r="B9" s="34" t="s">
        <v>115</v>
      </c>
      <c r="C9" s="35">
        <v>16.992360000000001</v>
      </c>
      <c r="D9" s="35">
        <v>-62.025300000000001</v>
      </c>
      <c r="E9" s="36">
        <v>45870</v>
      </c>
      <c r="F9" s="34"/>
    </row>
    <row r="10" spans="1:6" x14ac:dyDescent="0.2">
      <c r="A10" s="34" t="s">
        <v>100</v>
      </c>
      <c r="B10" s="34" t="s">
        <v>116</v>
      </c>
      <c r="C10" s="35">
        <v>16.96677</v>
      </c>
      <c r="D10" s="35">
        <v>-61.993699999999997</v>
      </c>
      <c r="E10" s="36">
        <v>45873</v>
      </c>
      <c r="F10" s="34"/>
    </row>
    <row r="11" spans="1:6" x14ac:dyDescent="0.2">
      <c r="A11" s="34" t="s">
        <v>100</v>
      </c>
      <c r="B11" s="34" t="s">
        <v>117</v>
      </c>
      <c r="C11" s="35">
        <v>16.973400000000002</v>
      </c>
      <c r="D11" s="35">
        <v>-61.963799999999999</v>
      </c>
      <c r="E11" s="36">
        <v>45876</v>
      </c>
      <c r="F11" s="34"/>
    </row>
    <row r="12" spans="1:6" x14ac:dyDescent="0.2">
      <c r="A12" s="34" t="s">
        <v>100</v>
      </c>
      <c r="B12" s="34" t="s">
        <v>118</v>
      </c>
      <c r="C12" s="35">
        <v>17.02159</v>
      </c>
      <c r="D12" s="35">
        <v>-61.9831</v>
      </c>
      <c r="E12" s="36">
        <v>45883</v>
      </c>
      <c r="F12" s="34"/>
    </row>
    <row r="13" spans="1:6" x14ac:dyDescent="0.2">
      <c r="A13" s="34" t="s">
        <v>100</v>
      </c>
      <c r="B13" s="34" t="s">
        <v>119</v>
      </c>
      <c r="C13" s="35">
        <v>17.032520000000002</v>
      </c>
      <c r="D13" s="35">
        <v>-61.994599999999998</v>
      </c>
      <c r="E13" s="36">
        <v>45887</v>
      </c>
      <c r="F13" s="34"/>
    </row>
    <row r="14" spans="1:6" x14ac:dyDescent="0.2">
      <c r="A14" s="34" t="s">
        <v>100</v>
      </c>
      <c r="B14" s="34" t="s">
        <v>120</v>
      </c>
      <c r="C14" s="35">
        <v>17.039919999999999</v>
      </c>
      <c r="D14" s="35">
        <v>-61.948</v>
      </c>
      <c r="E14" s="36">
        <v>45890</v>
      </c>
      <c r="F14" s="34"/>
    </row>
    <row r="15" spans="1:6" x14ac:dyDescent="0.2">
      <c r="A15" s="34" t="s">
        <v>100</v>
      </c>
      <c r="B15" s="34" t="s">
        <v>121</v>
      </c>
      <c r="C15" s="35">
        <v>17.03229</v>
      </c>
      <c r="D15" s="35">
        <v>-61.909500000000001</v>
      </c>
      <c r="E15" s="36">
        <v>45894</v>
      </c>
      <c r="F15" s="34"/>
    </row>
    <row r="16" spans="1:6" x14ac:dyDescent="0.2">
      <c r="A16" s="34" t="s">
        <v>100</v>
      </c>
      <c r="B16" s="34" t="s">
        <v>122</v>
      </c>
      <c r="C16" s="35">
        <v>17.053039999999999</v>
      </c>
      <c r="D16" s="35">
        <v>-61.860900000000001</v>
      </c>
      <c r="E16" s="36">
        <v>45897</v>
      </c>
      <c r="F16" s="34"/>
    </row>
    <row r="17" spans="1:7" x14ac:dyDescent="0.2">
      <c r="A17" s="34" t="s">
        <v>100</v>
      </c>
      <c r="B17" s="34" t="s">
        <v>123</v>
      </c>
      <c r="C17" s="35">
        <v>17.016760000000001</v>
      </c>
      <c r="D17" s="35">
        <v>-61.816600000000001</v>
      </c>
      <c r="E17" s="36">
        <v>45900</v>
      </c>
      <c r="F17" s="34"/>
    </row>
    <row r="18" spans="1:7" x14ac:dyDescent="0.2">
      <c r="A18" s="34" t="s">
        <v>100</v>
      </c>
      <c r="B18" s="34" t="s">
        <v>124</v>
      </c>
      <c r="C18" s="35">
        <v>16.969830000000002</v>
      </c>
      <c r="D18" s="35">
        <v>-61.779800000000002</v>
      </c>
      <c r="E18" s="36">
        <v>45909</v>
      </c>
      <c r="F18" s="34"/>
    </row>
    <row r="19" spans="1:7" x14ac:dyDescent="0.2">
      <c r="A19" s="34" t="s">
        <v>100</v>
      </c>
      <c r="B19" s="34" t="s">
        <v>125</v>
      </c>
      <c r="C19" s="35">
        <v>16.957709999999999</v>
      </c>
      <c r="D19" s="35">
        <v>-61.783799999999999</v>
      </c>
      <c r="E19" s="36">
        <v>45912</v>
      </c>
      <c r="F19" s="34"/>
    </row>
    <row r="20" spans="1:7" x14ac:dyDescent="0.2">
      <c r="A20" s="34" t="s">
        <v>100</v>
      </c>
      <c r="B20" s="34" t="s">
        <v>126</v>
      </c>
      <c r="C20" s="35">
        <v>16.94997</v>
      </c>
      <c r="D20" s="35">
        <v>-61.789900000000003</v>
      </c>
      <c r="E20" s="36">
        <v>45915</v>
      </c>
      <c r="F20" s="34"/>
    </row>
    <row r="21" spans="1:7" x14ac:dyDescent="0.2">
      <c r="A21" s="34" t="s">
        <v>100</v>
      </c>
      <c r="B21" s="34" t="s">
        <v>127</v>
      </c>
      <c r="C21" s="35">
        <v>16.902819999999998</v>
      </c>
      <c r="D21" s="35">
        <v>-61.75</v>
      </c>
      <c r="E21" s="36">
        <v>45918</v>
      </c>
      <c r="F21" s="34"/>
    </row>
    <row r="22" spans="1:7" x14ac:dyDescent="0.2">
      <c r="A22" s="34" t="s">
        <v>100</v>
      </c>
      <c r="B22" s="34" t="s">
        <v>128</v>
      </c>
      <c r="C22" s="35">
        <v>16.873059999999999</v>
      </c>
      <c r="D22" s="35">
        <v>-61.779899999999998</v>
      </c>
      <c r="E22" s="36">
        <v>45921</v>
      </c>
      <c r="F22" s="34"/>
    </row>
    <row r="23" spans="1:7" x14ac:dyDescent="0.2">
      <c r="A23" s="34" t="s">
        <v>100</v>
      </c>
      <c r="B23" s="34" t="s">
        <v>129</v>
      </c>
      <c r="C23" s="35">
        <v>16.884070000000001</v>
      </c>
      <c r="D23" s="35">
        <v>-61.828000000000003</v>
      </c>
      <c r="E23" s="36">
        <v>45928</v>
      </c>
      <c r="F23" s="34"/>
    </row>
    <row r="24" spans="1:7" x14ac:dyDescent="0.2">
      <c r="A24" s="34" t="s">
        <v>100</v>
      </c>
      <c r="B24" s="34" t="s">
        <v>130</v>
      </c>
      <c r="C24" s="35">
        <v>16.890789999999999</v>
      </c>
      <c r="D24" s="35">
        <v>-61.808999999999997</v>
      </c>
      <c r="E24" s="36">
        <v>45931</v>
      </c>
      <c r="F24" s="34"/>
    </row>
    <row r="25" spans="1:7" x14ac:dyDescent="0.2">
      <c r="A25" s="34" t="s">
        <v>100</v>
      </c>
      <c r="B25" s="34" t="s">
        <v>131</v>
      </c>
      <c r="C25" s="35">
        <v>16.883970000000001</v>
      </c>
      <c r="D25" s="35">
        <v>-61.7624</v>
      </c>
      <c r="E25" s="36">
        <v>45935</v>
      </c>
      <c r="F25" s="34"/>
    </row>
    <row r="26" spans="1:7" x14ac:dyDescent="0.2">
      <c r="A26" s="34" t="s">
        <v>100</v>
      </c>
      <c r="B26" s="34" t="s">
        <v>132</v>
      </c>
      <c r="C26" s="35">
        <v>16.89734</v>
      </c>
      <c r="D26" s="35">
        <v>-61.758600000000001</v>
      </c>
      <c r="E26" s="36">
        <v>45940</v>
      </c>
      <c r="F26" s="34"/>
    </row>
    <row r="27" spans="1:7" x14ac:dyDescent="0.2">
      <c r="A27" s="34" t="s">
        <v>98</v>
      </c>
      <c r="B27" s="34" t="s">
        <v>108</v>
      </c>
      <c r="C27" s="35">
        <v>17.05931</v>
      </c>
      <c r="D27" s="35">
        <v>-61.879199999999997</v>
      </c>
      <c r="E27" s="36">
        <v>45832</v>
      </c>
      <c r="F27" s="34"/>
      <c r="G27" s="34"/>
    </row>
    <row r="28" spans="1:7" x14ac:dyDescent="0.2">
      <c r="A28" s="34" t="s">
        <v>98</v>
      </c>
      <c r="B28" s="34" t="s">
        <v>109</v>
      </c>
      <c r="C28" s="35">
        <v>17.077559999999998</v>
      </c>
      <c r="D28" s="35">
        <v>-61.879399999999997</v>
      </c>
      <c r="E28" s="36">
        <v>45838</v>
      </c>
      <c r="F28" s="34"/>
      <c r="G28" s="34"/>
    </row>
    <row r="29" spans="1:7" x14ac:dyDescent="0.2">
      <c r="A29" s="34" t="s">
        <v>98</v>
      </c>
      <c r="B29" s="34" t="s">
        <v>110</v>
      </c>
      <c r="C29" s="35">
        <v>17.058979999999998</v>
      </c>
      <c r="D29" s="35">
        <v>-61.901000000000003</v>
      </c>
      <c r="E29" s="36">
        <v>45868</v>
      </c>
      <c r="F29" s="34"/>
      <c r="G29" s="34"/>
    </row>
    <row r="30" spans="1:7" x14ac:dyDescent="0.2">
      <c r="A30" s="34" t="s">
        <v>98</v>
      </c>
      <c r="B30" s="34" t="s">
        <v>111</v>
      </c>
      <c r="C30" s="35">
        <v>17.072479999999999</v>
      </c>
      <c r="D30" s="35">
        <v>-61.921999999999997</v>
      </c>
      <c r="E30" s="36">
        <v>45873</v>
      </c>
      <c r="F30" s="34"/>
      <c r="G30" s="34"/>
    </row>
    <row r="31" spans="1:7" x14ac:dyDescent="0.2">
      <c r="A31" s="34" t="s">
        <v>98</v>
      </c>
      <c r="B31" s="34" t="s">
        <v>112</v>
      </c>
      <c r="C31" s="35">
        <v>17.04447</v>
      </c>
      <c r="D31" s="35">
        <v>-61.952599999999997</v>
      </c>
      <c r="E31" s="36">
        <v>45875</v>
      </c>
      <c r="F31" s="34"/>
      <c r="G31" s="34"/>
    </row>
    <row r="32" spans="1:7" x14ac:dyDescent="0.2">
      <c r="A32" s="34" t="s">
        <v>98</v>
      </c>
      <c r="B32" s="34" t="s">
        <v>113</v>
      </c>
      <c r="C32" s="35">
        <v>17.027979999999999</v>
      </c>
      <c r="D32" s="35">
        <v>-61.997</v>
      </c>
      <c r="E32" s="36">
        <v>45894</v>
      </c>
      <c r="F32" s="34"/>
      <c r="G32" s="34"/>
    </row>
    <row r="33" spans="1:7" x14ac:dyDescent="0.2">
      <c r="A33" s="34" t="s">
        <v>98</v>
      </c>
      <c r="B33" s="34" t="s">
        <v>114</v>
      </c>
      <c r="C33" s="35">
        <v>17.028300000000002</v>
      </c>
      <c r="D33" s="35">
        <v>-62.011299999999999</v>
      </c>
      <c r="E33" s="36">
        <v>45897</v>
      </c>
      <c r="F33" s="34"/>
      <c r="G33" s="34"/>
    </row>
    <row r="34" spans="1:7" x14ac:dyDescent="0.2">
      <c r="A34" s="34" t="s">
        <v>98</v>
      </c>
      <c r="B34" s="34" t="s">
        <v>115</v>
      </c>
      <c r="C34" s="35">
        <v>17.021080000000001</v>
      </c>
      <c r="D34" s="35">
        <v>-61.996299999999998</v>
      </c>
      <c r="E34" s="36">
        <v>45898</v>
      </c>
      <c r="F34" s="34"/>
      <c r="G34" s="34"/>
    </row>
    <row r="35" spans="1:7" x14ac:dyDescent="0.2">
      <c r="A35" s="34" t="s">
        <v>98</v>
      </c>
      <c r="B35" s="34" t="s">
        <v>116</v>
      </c>
      <c r="C35" s="35">
        <v>17.057079999999999</v>
      </c>
      <c r="D35" s="35">
        <v>-61.956099999999999</v>
      </c>
      <c r="E35" s="36">
        <v>45909</v>
      </c>
      <c r="F35" s="34"/>
      <c r="G35" s="34"/>
    </row>
    <row r="36" spans="1:7" x14ac:dyDescent="0.2">
      <c r="A36" s="34" t="s">
        <v>98</v>
      </c>
      <c r="B36" s="34" t="s">
        <v>117</v>
      </c>
      <c r="C36" s="35">
        <v>17.019960000000001</v>
      </c>
      <c r="D36" s="35">
        <v>-61.918399999999998</v>
      </c>
      <c r="E36" s="36">
        <v>45943</v>
      </c>
      <c r="F36" s="34"/>
      <c r="G36" s="34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241"/>
  <sheetViews>
    <sheetView workbookViewId="0"/>
  </sheetViews>
  <sheetFormatPr baseColWidth="10" defaultColWidth="12.6640625" defaultRowHeight="15.75" customHeight="1" x14ac:dyDescent="0.15"/>
  <cols>
    <col min="7" max="7" width="23.6640625" customWidth="1"/>
  </cols>
  <sheetData>
    <row r="1" spans="1:7" ht="15.75" customHeight="1" x14ac:dyDescent="0.15">
      <c r="A1" s="32" t="s">
        <v>96</v>
      </c>
      <c r="B1" s="33" t="s">
        <v>0</v>
      </c>
      <c r="C1" s="33" t="s">
        <v>133</v>
      </c>
      <c r="D1" s="33" t="s">
        <v>134</v>
      </c>
      <c r="E1" s="33" t="s">
        <v>135</v>
      </c>
      <c r="F1" s="33" t="s">
        <v>136</v>
      </c>
      <c r="G1" s="33" t="s">
        <v>137</v>
      </c>
    </row>
    <row r="2" spans="1:7" x14ac:dyDescent="0.2">
      <c r="A2" s="34" t="s">
        <v>100</v>
      </c>
      <c r="B2" s="37">
        <v>45830</v>
      </c>
      <c r="C2" s="35">
        <v>1</v>
      </c>
      <c r="D2" s="35">
        <v>73.5</v>
      </c>
      <c r="E2" s="35">
        <v>33.5</v>
      </c>
      <c r="F2" s="35">
        <v>184.1</v>
      </c>
      <c r="G2" s="35">
        <v>150.6</v>
      </c>
    </row>
    <row r="3" spans="1:7" x14ac:dyDescent="0.2">
      <c r="A3" s="34" t="s">
        <v>100</v>
      </c>
      <c r="B3" s="37">
        <v>45831</v>
      </c>
      <c r="C3" s="35">
        <v>2</v>
      </c>
      <c r="D3" s="35">
        <v>87.3</v>
      </c>
      <c r="E3" s="35">
        <v>46.3</v>
      </c>
      <c r="F3" s="35">
        <v>206.4</v>
      </c>
      <c r="G3" s="35">
        <v>160.1</v>
      </c>
    </row>
    <row r="4" spans="1:7" x14ac:dyDescent="0.2">
      <c r="A4" s="34" t="s">
        <v>100</v>
      </c>
      <c r="B4" s="37">
        <v>45832</v>
      </c>
      <c r="C4" s="35">
        <v>3</v>
      </c>
      <c r="D4" s="35">
        <v>93.5</v>
      </c>
      <c r="E4" s="35">
        <v>51.4</v>
      </c>
      <c r="F4" s="35">
        <v>202.4</v>
      </c>
      <c r="G4" s="35">
        <v>151</v>
      </c>
    </row>
    <row r="5" spans="1:7" x14ac:dyDescent="0.2">
      <c r="A5" s="34" t="s">
        <v>100</v>
      </c>
      <c r="B5" s="37">
        <v>45833</v>
      </c>
      <c r="C5" s="35">
        <v>4</v>
      </c>
      <c r="D5" s="35">
        <v>101.6</v>
      </c>
      <c r="E5" s="35">
        <v>58.5</v>
      </c>
      <c r="F5" s="35">
        <v>210.8</v>
      </c>
      <c r="G5" s="35">
        <v>152.4</v>
      </c>
    </row>
    <row r="6" spans="1:7" x14ac:dyDescent="0.2">
      <c r="A6" s="34" t="s">
        <v>100</v>
      </c>
      <c r="B6" s="37">
        <v>45834</v>
      </c>
      <c r="C6" s="35">
        <v>5</v>
      </c>
      <c r="D6" s="35">
        <v>85.9</v>
      </c>
      <c r="E6" s="35">
        <v>41.8</v>
      </c>
      <c r="F6" s="35">
        <v>198.1</v>
      </c>
      <c r="G6" s="35">
        <v>156.30000000000001</v>
      </c>
    </row>
    <row r="7" spans="1:7" x14ac:dyDescent="0.2">
      <c r="A7" s="34" t="s">
        <v>100</v>
      </c>
      <c r="B7" s="37">
        <v>45835</v>
      </c>
      <c r="C7" s="35">
        <v>6</v>
      </c>
      <c r="D7" s="35">
        <v>93.1</v>
      </c>
      <c r="E7" s="35">
        <v>48</v>
      </c>
      <c r="F7" s="35">
        <v>201.5</v>
      </c>
      <c r="G7" s="35">
        <v>153.4</v>
      </c>
    </row>
    <row r="8" spans="1:7" x14ac:dyDescent="0.2">
      <c r="A8" s="34" t="s">
        <v>100</v>
      </c>
      <c r="B8" s="37">
        <v>45836</v>
      </c>
      <c r="C8" s="35">
        <v>7</v>
      </c>
      <c r="D8" s="35">
        <v>87.8</v>
      </c>
      <c r="E8" s="35">
        <v>41.9</v>
      </c>
      <c r="F8" s="35">
        <v>209.6</v>
      </c>
      <c r="G8" s="35">
        <v>167.7</v>
      </c>
    </row>
    <row r="9" spans="1:7" x14ac:dyDescent="0.2">
      <c r="A9" s="34" t="s">
        <v>100</v>
      </c>
      <c r="B9" s="37">
        <v>45837</v>
      </c>
      <c r="C9" s="35">
        <v>8</v>
      </c>
      <c r="D9" s="35">
        <v>93.8</v>
      </c>
      <c r="E9" s="35">
        <v>47.1</v>
      </c>
      <c r="F9" s="35">
        <v>201.8</v>
      </c>
      <c r="G9" s="35">
        <v>154.69999999999999</v>
      </c>
    </row>
    <row r="10" spans="1:7" x14ac:dyDescent="0.2">
      <c r="A10" s="34" t="s">
        <v>100</v>
      </c>
      <c r="B10" s="37">
        <v>45838</v>
      </c>
      <c r="C10" s="35">
        <v>9</v>
      </c>
      <c r="D10" s="35">
        <v>106.8</v>
      </c>
      <c r="E10" s="35">
        <v>59.4</v>
      </c>
      <c r="F10" s="35">
        <v>217.4</v>
      </c>
      <c r="G10" s="35">
        <v>158</v>
      </c>
    </row>
    <row r="11" spans="1:7" x14ac:dyDescent="0.2">
      <c r="A11" s="34" t="s">
        <v>100</v>
      </c>
      <c r="B11" s="37">
        <v>45839</v>
      </c>
      <c r="C11" s="35">
        <v>10</v>
      </c>
      <c r="D11" s="35">
        <v>99</v>
      </c>
      <c r="E11" s="35">
        <v>50.9</v>
      </c>
      <c r="F11" s="35">
        <v>214.3</v>
      </c>
      <c r="G11" s="35">
        <v>163.5</v>
      </c>
    </row>
    <row r="12" spans="1:7" x14ac:dyDescent="0.2">
      <c r="A12" s="34" t="s">
        <v>100</v>
      </c>
      <c r="B12" s="37">
        <v>45840</v>
      </c>
      <c r="C12" s="35">
        <v>11</v>
      </c>
      <c r="D12" s="35">
        <v>96.1</v>
      </c>
      <c r="E12" s="35">
        <v>47.4</v>
      </c>
      <c r="F12" s="35">
        <v>225.6</v>
      </c>
      <c r="G12" s="35">
        <v>178.2</v>
      </c>
    </row>
    <row r="13" spans="1:7" x14ac:dyDescent="0.2">
      <c r="A13" s="34" t="s">
        <v>100</v>
      </c>
      <c r="B13" s="37">
        <v>45841</v>
      </c>
      <c r="C13" s="35">
        <v>12</v>
      </c>
      <c r="D13" s="35">
        <v>95.3</v>
      </c>
      <c r="E13" s="35">
        <v>46.1</v>
      </c>
      <c r="F13" s="35">
        <v>215.6</v>
      </c>
      <c r="G13" s="35">
        <v>169.5</v>
      </c>
    </row>
    <row r="14" spans="1:7" x14ac:dyDescent="0.2">
      <c r="A14" s="34" t="s">
        <v>100</v>
      </c>
      <c r="B14" s="37">
        <v>45842</v>
      </c>
      <c r="C14" s="35">
        <v>13</v>
      </c>
      <c r="D14" s="35">
        <v>95.1</v>
      </c>
      <c r="E14" s="35">
        <v>45.5</v>
      </c>
      <c r="F14" s="35">
        <v>214</v>
      </c>
      <c r="G14" s="35">
        <v>168.4</v>
      </c>
    </row>
    <row r="15" spans="1:7" x14ac:dyDescent="0.2">
      <c r="A15" s="34" t="s">
        <v>100</v>
      </c>
      <c r="B15" s="37">
        <v>45843</v>
      </c>
      <c r="C15" s="35">
        <v>14</v>
      </c>
      <c r="D15" s="35">
        <v>108.9</v>
      </c>
      <c r="E15" s="35">
        <v>59.1</v>
      </c>
      <c r="F15" s="35">
        <v>229</v>
      </c>
      <c r="G15" s="35">
        <v>169.8</v>
      </c>
    </row>
    <row r="16" spans="1:7" x14ac:dyDescent="0.2">
      <c r="A16" s="34" t="s">
        <v>100</v>
      </c>
      <c r="B16" s="37">
        <v>45844</v>
      </c>
      <c r="C16" s="35">
        <v>15</v>
      </c>
      <c r="D16" s="35">
        <v>107.1</v>
      </c>
      <c r="E16" s="35">
        <v>57.1</v>
      </c>
      <c r="F16" s="35">
        <v>224.3</v>
      </c>
      <c r="G16" s="35">
        <v>167.2</v>
      </c>
    </row>
    <row r="17" spans="1:7" x14ac:dyDescent="0.2">
      <c r="A17" s="34" t="s">
        <v>100</v>
      </c>
      <c r="B17" s="37">
        <v>45845</v>
      </c>
      <c r="C17" s="35">
        <v>16</v>
      </c>
      <c r="D17" s="35">
        <v>118.9</v>
      </c>
      <c r="E17" s="35">
        <v>68.900000000000006</v>
      </c>
      <c r="F17" s="35">
        <v>253.7</v>
      </c>
      <c r="G17" s="35">
        <v>184.8</v>
      </c>
    </row>
    <row r="18" spans="1:7" x14ac:dyDescent="0.2">
      <c r="A18" s="34" t="s">
        <v>100</v>
      </c>
      <c r="B18" s="37">
        <v>45846</v>
      </c>
      <c r="C18" s="35">
        <v>17</v>
      </c>
      <c r="D18" s="35">
        <v>101</v>
      </c>
      <c r="E18" s="35">
        <v>51.1</v>
      </c>
      <c r="F18" s="35">
        <v>222.9</v>
      </c>
      <c r="G18" s="35">
        <v>171.9</v>
      </c>
    </row>
    <row r="19" spans="1:7" x14ac:dyDescent="0.2">
      <c r="A19" s="34" t="s">
        <v>100</v>
      </c>
      <c r="B19" s="37">
        <v>45847</v>
      </c>
      <c r="C19" s="35">
        <v>18</v>
      </c>
      <c r="D19" s="35">
        <v>107.9</v>
      </c>
      <c r="E19" s="35">
        <v>58.2</v>
      </c>
      <c r="F19" s="35">
        <v>232.8</v>
      </c>
      <c r="G19" s="35">
        <v>174.6</v>
      </c>
    </row>
    <row r="20" spans="1:7" x14ac:dyDescent="0.2">
      <c r="A20" s="34" t="s">
        <v>100</v>
      </c>
      <c r="B20" s="37">
        <v>45848</v>
      </c>
      <c r="C20" s="35">
        <v>19</v>
      </c>
      <c r="D20" s="35">
        <v>104</v>
      </c>
      <c r="E20" s="35">
        <v>54.5</v>
      </c>
      <c r="F20" s="35">
        <v>232.1</v>
      </c>
      <c r="G20" s="35">
        <v>177.6</v>
      </c>
    </row>
    <row r="21" spans="1:7" x14ac:dyDescent="0.2">
      <c r="A21" s="34" t="s">
        <v>100</v>
      </c>
      <c r="B21" s="37">
        <v>45849</v>
      </c>
      <c r="C21" s="35">
        <v>20</v>
      </c>
      <c r="D21" s="35">
        <v>113.5</v>
      </c>
      <c r="E21" s="35">
        <v>64.5</v>
      </c>
      <c r="F21" s="35">
        <v>237.6</v>
      </c>
      <c r="G21" s="35">
        <v>173.1</v>
      </c>
    </row>
    <row r="22" spans="1:7" x14ac:dyDescent="0.2">
      <c r="A22" s="34" t="s">
        <v>100</v>
      </c>
      <c r="B22" s="37">
        <v>45850</v>
      </c>
      <c r="C22" s="35">
        <v>21</v>
      </c>
      <c r="D22" s="35">
        <v>112.8</v>
      </c>
      <c r="E22" s="35">
        <v>64.2</v>
      </c>
      <c r="F22" s="35">
        <v>247.3</v>
      </c>
      <c r="G22" s="35">
        <v>183.1</v>
      </c>
    </row>
    <row r="23" spans="1:7" x14ac:dyDescent="0.2">
      <c r="A23" s="34" t="s">
        <v>100</v>
      </c>
      <c r="B23" s="37">
        <v>45851</v>
      </c>
      <c r="C23" s="35">
        <v>22</v>
      </c>
      <c r="D23" s="35">
        <v>115</v>
      </c>
      <c r="E23" s="35">
        <v>67</v>
      </c>
      <c r="F23" s="35">
        <v>234.1</v>
      </c>
      <c r="G23" s="35">
        <v>167.1</v>
      </c>
    </row>
    <row r="24" spans="1:7" x14ac:dyDescent="0.2">
      <c r="A24" s="34" t="s">
        <v>100</v>
      </c>
      <c r="B24" s="37">
        <v>45852</v>
      </c>
      <c r="C24" s="35">
        <v>23</v>
      </c>
      <c r="D24" s="35">
        <v>111.5</v>
      </c>
      <c r="E24" s="35">
        <v>64.2</v>
      </c>
      <c r="F24" s="35">
        <v>235.5</v>
      </c>
      <c r="G24" s="35">
        <v>171.3</v>
      </c>
    </row>
    <row r="25" spans="1:7" x14ac:dyDescent="0.2">
      <c r="A25" s="34" t="s">
        <v>100</v>
      </c>
      <c r="B25" s="37">
        <v>45853</v>
      </c>
      <c r="C25" s="35">
        <v>24</v>
      </c>
      <c r="D25" s="35">
        <v>118.8</v>
      </c>
      <c r="E25" s="35">
        <v>72.2</v>
      </c>
      <c r="F25" s="35">
        <v>246.4</v>
      </c>
      <c r="G25" s="35">
        <v>174.1</v>
      </c>
    </row>
    <row r="26" spans="1:7" x14ac:dyDescent="0.2">
      <c r="A26" s="34" t="s">
        <v>100</v>
      </c>
      <c r="B26" s="37">
        <v>45854</v>
      </c>
      <c r="C26" s="35">
        <v>25</v>
      </c>
      <c r="D26" s="35">
        <v>110.7</v>
      </c>
      <c r="E26" s="35">
        <v>65</v>
      </c>
      <c r="F26" s="35">
        <v>249.1</v>
      </c>
      <c r="G26" s="35">
        <v>184</v>
      </c>
    </row>
    <row r="27" spans="1:7" x14ac:dyDescent="0.2">
      <c r="A27" s="34" t="s">
        <v>100</v>
      </c>
      <c r="B27" s="37">
        <v>45855</v>
      </c>
      <c r="C27" s="35">
        <v>26</v>
      </c>
      <c r="D27" s="35">
        <v>119.8</v>
      </c>
      <c r="E27" s="35">
        <v>75</v>
      </c>
      <c r="F27" s="35">
        <v>254.4</v>
      </c>
      <c r="G27" s="35">
        <v>179.4</v>
      </c>
    </row>
    <row r="28" spans="1:7" x14ac:dyDescent="0.2">
      <c r="A28" s="34" t="s">
        <v>100</v>
      </c>
      <c r="B28" s="37">
        <v>45856</v>
      </c>
      <c r="C28" s="35">
        <v>27</v>
      </c>
      <c r="D28" s="35">
        <v>102.5</v>
      </c>
      <c r="E28" s="35">
        <v>58.6</v>
      </c>
      <c r="F28" s="35">
        <v>224.7</v>
      </c>
      <c r="G28" s="35">
        <v>166.1</v>
      </c>
    </row>
    <row r="29" spans="1:7" x14ac:dyDescent="0.2">
      <c r="A29" s="34" t="s">
        <v>100</v>
      </c>
      <c r="B29" s="37">
        <v>45857</v>
      </c>
      <c r="C29" s="35">
        <v>28</v>
      </c>
      <c r="D29" s="35">
        <v>107.3</v>
      </c>
      <c r="E29" s="35">
        <v>64.400000000000006</v>
      </c>
      <c r="F29" s="35">
        <v>232.2</v>
      </c>
      <c r="G29" s="35">
        <v>167.8</v>
      </c>
    </row>
    <row r="30" spans="1:7" x14ac:dyDescent="0.2">
      <c r="A30" s="34" t="s">
        <v>100</v>
      </c>
      <c r="B30" s="37">
        <v>45858</v>
      </c>
      <c r="C30" s="35">
        <v>29</v>
      </c>
      <c r="D30" s="35">
        <v>105</v>
      </c>
      <c r="E30" s="35">
        <v>63.2</v>
      </c>
      <c r="F30" s="35">
        <v>232</v>
      </c>
      <c r="G30" s="35">
        <v>168.8</v>
      </c>
    </row>
    <row r="31" spans="1:7" x14ac:dyDescent="0.2">
      <c r="A31" s="34" t="s">
        <v>100</v>
      </c>
      <c r="B31" s="37">
        <v>45859</v>
      </c>
      <c r="C31" s="35">
        <v>30</v>
      </c>
      <c r="D31" s="35">
        <v>104</v>
      </c>
      <c r="E31" s="35">
        <v>63.2</v>
      </c>
      <c r="F31" s="35">
        <v>238.2</v>
      </c>
      <c r="G31" s="35">
        <v>175</v>
      </c>
    </row>
    <row r="32" spans="1:7" x14ac:dyDescent="0.2">
      <c r="A32" s="34" t="s">
        <v>100</v>
      </c>
      <c r="B32" s="37">
        <v>45860</v>
      </c>
      <c r="C32" s="35">
        <v>31</v>
      </c>
      <c r="D32" s="35">
        <v>102</v>
      </c>
      <c r="E32" s="35">
        <v>62.3</v>
      </c>
      <c r="F32" s="35">
        <v>230.5</v>
      </c>
      <c r="G32" s="35">
        <v>168.2</v>
      </c>
    </row>
    <row r="33" spans="1:7" x14ac:dyDescent="0.2">
      <c r="A33" s="34" t="s">
        <v>100</v>
      </c>
      <c r="B33" s="37">
        <v>45861</v>
      </c>
      <c r="C33" s="35">
        <v>32</v>
      </c>
      <c r="D33" s="35">
        <v>102.7</v>
      </c>
      <c r="E33" s="35">
        <v>64</v>
      </c>
      <c r="F33" s="35">
        <v>223.9</v>
      </c>
      <c r="G33" s="35">
        <v>159.80000000000001</v>
      </c>
    </row>
    <row r="34" spans="1:7" x14ac:dyDescent="0.2">
      <c r="A34" s="34" t="s">
        <v>100</v>
      </c>
      <c r="B34" s="37">
        <v>45862</v>
      </c>
      <c r="C34" s="35">
        <v>33</v>
      </c>
      <c r="D34" s="35">
        <v>87.7</v>
      </c>
      <c r="E34" s="35">
        <v>50.1</v>
      </c>
      <c r="F34" s="35">
        <v>209.1</v>
      </c>
      <c r="G34" s="35">
        <v>159</v>
      </c>
    </row>
    <row r="35" spans="1:7" x14ac:dyDescent="0.2">
      <c r="A35" s="34" t="s">
        <v>100</v>
      </c>
      <c r="B35" s="37">
        <v>45863</v>
      </c>
      <c r="C35" s="35">
        <v>34</v>
      </c>
      <c r="D35" s="35">
        <v>92.3</v>
      </c>
      <c r="E35" s="35">
        <v>55.7</v>
      </c>
      <c r="F35" s="35">
        <v>212.3</v>
      </c>
      <c r="G35" s="35">
        <v>156.6</v>
      </c>
    </row>
    <row r="36" spans="1:7" x14ac:dyDescent="0.2">
      <c r="A36" s="34" t="s">
        <v>100</v>
      </c>
      <c r="B36" s="37">
        <v>45864</v>
      </c>
      <c r="C36" s="35">
        <v>35</v>
      </c>
      <c r="D36" s="35">
        <v>87</v>
      </c>
      <c r="E36" s="35">
        <v>51.3</v>
      </c>
      <c r="F36" s="35">
        <v>210.8</v>
      </c>
      <c r="G36" s="35">
        <v>159.5</v>
      </c>
    </row>
    <row r="37" spans="1:7" x14ac:dyDescent="0.2">
      <c r="A37" s="34" t="s">
        <v>100</v>
      </c>
      <c r="B37" s="37">
        <v>45865</v>
      </c>
      <c r="C37" s="35">
        <v>36</v>
      </c>
      <c r="D37" s="35">
        <v>88.9</v>
      </c>
      <c r="E37" s="35">
        <v>54.2</v>
      </c>
      <c r="F37" s="35">
        <v>221.5</v>
      </c>
      <c r="G37" s="35">
        <v>167.3</v>
      </c>
    </row>
    <row r="38" spans="1:7" x14ac:dyDescent="0.2">
      <c r="A38" s="34" t="s">
        <v>100</v>
      </c>
      <c r="B38" s="37">
        <v>45866</v>
      </c>
      <c r="C38" s="35">
        <v>37</v>
      </c>
      <c r="D38" s="35">
        <v>89.9</v>
      </c>
      <c r="E38" s="35">
        <v>56.1</v>
      </c>
      <c r="F38" s="35">
        <v>217.2</v>
      </c>
      <c r="G38" s="35">
        <v>161.19999999999999</v>
      </c>
    </row>
    <row r="39" spans="1:7" x14ac:dyDescent="0.2">
      <c r="A39" s="34" t="s">
        <v>100</v>
      </c>
      <c r="B39" s="37">
        <v>45867</v>
      </c>
      <c r="C39" s="35">
        <v>38</v>
      </c>
      <c r="D39" s="35">
        <v>80.5</v>
      </c>
      <c r="E39" s="35">
        <v>47.5</v>
      </c>
      <c r="F39" s="35">
        <v>206.7</v>
      </c>
      <c r="G39" s="35">
        <v>159.19999999999999</v>
      </c>
    </row>
    <row r="40" spans="1:7" x14ac:dyDescent="0.2">
      <c r="A40" s="34" t="s">
        <v>100</v>
      </c>
      <c r="B40" s="37">
        <v>45868</v>
      </c>
      <c r="C40" s="35">
        <v>39</v>
      </c>
      <c r="D40" s="35">
        <v>95.1</v>
      </c>
      <c r="E40" s="35">
        <v>62.7</v>
      </c>
      <c r="F40" s="35">
        <v>214</v>
      </c>
      <c r="G40" s="35">
        <v>151.30000000000001</v>
      </c>
    </row>
    <row r="41" spans="1:7" x14ac:dyDescent="0.2">
      <c r="A41" s="34" t="s">
        <v>100</v>
      </c>
      <c r="B41" s="37">
        <v>45869</v>
      </c>
      <c r="C41" s="35">
        <v>40</v>
      </c>
      <c r="D41" s="35">
        <v>79.400000000000006</v>
      </c>
      <c r="E41" s="35">
        <v>47.7</v>
      </c>
      <c r="F41" s="35">
        <v>206.5</v>
      </c>
      <c r="G41" s="35">
        <v>158.80000000000001</v>
      </c>
    </row>
    <row r="42" spans="1:7" x14ac:dyDescent="0.2">
      <c r="A42" s="34" t="s">
        <v>100</v>
      </c>
      <c r="B42" s="37">
        <v>45870</v>
      </c>
      <c r="C42" s="35">
        <v>41</v>
      </c>
      <c r="D42" s="35">
        <v>84.1</v>
      </c>
      <c r="E42" s="35">
        <v>52.9</v>
      </c>
      <c r="F42" s="35">
        <v>212.3</v>
      </c>
      <c r="G42" s="35">
        <v>159.4</v>
      </c>
    </row>
    <row r="43" spans="1:7" x14ac:dyDescent="0.2">
      <c r="A43" s="34" t="s">
        <v>100</v>
      </c>
      <c r="B43" s="37">
        <v>45871</v>
      </c>
      <c r="C43" s="35">
        <v>42</v>
      </c>
      <c r="D43" s="35">
        <v>82</v>
      </c>
      <c r="E43" s="35">
        <v>51.2</v>
      </c>
      <c r="F43" s="35">
        <v>216.7</v>
      </c>
      <c r="G43" s="35">
        <v>165.4</v>
      </c>
    </row>
    <row r="44" spans="1:7" x14ac:dyDescent="0.2">
      <c r="A44" s="34" t="s">
        <v>100</v>
      </c>
      <c r="B44" s="37">
        <v>45872</v>
      </c>
      <c r="C44" s="35">
        <v>43</v>
      </c>
      <c r="D44" s="35">
        <v>71.900000000000006</v>
      </c>
      <c r="E44" s="35">
        <v>41.6</v>
      </c>
      <c r="F44" s="35">
        <v>188.3</v>
      </c>
      <c r="G44" s="35">
        <v>146.69999999999999</v>
      </c>
    </row>
    <row r="45" spans="1:7" x14ac:dyDescent="0.2">
      <c r="A45" s="34" t="s">
        <v>100</v>
      </c>
      <c r="B45" s="37">
        <v>45873</v>
      </c>
      <c r="C45" s="35">
        <v>44</v>
      </c>
      <c r="D45" s="35">
        <v>71.7</v>
      </c>
      <c r="E45" s="35">
        <v>41.6</v>
      </c>
      <c r="F45" s="35">
        <v>191.8</v>
      </c>
      <c r="G45" s="35">
        <v>150.19999999999999</v>
      </c>
    </row>
    <row r="46" spans="1:7" x14ac:dyDescent="0.2">
      <c r="A46" s="34" t="s">
        <v>100</v>
      </c>
      <c r="B46" s="37">
        <v>45874</v>
      </c>
      <c r="C46" s="35">
        <v>45</v>
      </c>
      <c r="D46" s="35">
        <v>63.2</v>
      </c>
      <c r="E46" s="35">
        <v>33.200000000000003</v>
      </c>
      <c r="F46" s="35">
        <v>177.9</v>
      </c>
      <c r="G46" s="35">
        <v>144.80000000000001</v>
      </c>
    </row>
    <row r="47" spans="1:7" x14ac:dyDescent="0.2">
      <c r="A47" s="34" t="s">
        <v>100</v>
      </c>
      <c r="B47" s="37">
        <v>45875</v>
      </c>
      <c r="C47" s="35">
        <v>46</v>
      </c>
      <c r="D47" s="35">
        <v>67.900000000000006</v>
      </c>
      <c r="E47" s="35">
        <v>37.9</v>
      </c>
      <c r="F47" s="35">
        <v>183.4</v>
      </c>
      <c r="G47" s="35">
        <v>145.4</v>
      </c>
    </row>
    <row r="48" spans="1:7" x14ac:dyDescent="0.2">
      <c r="A48" s="34" t="s">
        <v>100</v>
      </c>
      <c r="B48" s="37">
        <v>45876</v>
      </c>
      <c r="C48" s="35">
        <v>47</v>
      </c>
      <c r="D48" s="35">
        <v>68.7</v>
      </c>
      <c r="E48" s="35">
        <v>38.6</v>
      </c>
      <c r="F48" s="35">
        <v>201.3</v>
      </c>
      <c r="G48" s="35">
        <v>162.6</v>
      </c>
    </row>
    <row r="49" spans="1:7" ht="15" x14ac:dyDescent="0.2">
      <c r="A49" s="34" t="s">
        <v>100</v>
      </c>
      <c r="B49" s="37">
        <v>45877</v>
      </c>
      <c r="C49" s="35">
        <v>48</v>
      </c>
      <c r="D49" s="35">
        <v>61.3</v>
      </c>
      <c r="E49" s="35">
        <v>31</v>
      </c>
      <c r="F49" s="35">
        <v>190.7</v>
      </c>
      <c r="G49" s="35">
        <v>159.69999999999999</v>
      </c>
    </row>
    <row r="50" spans="1:7" ht="15" x14ac:dyDescent="0.2">
      <c r="A50" s="34" t="s">
        <v>100</v>
      </c>
      <c r="B50" s="37">
        <v>45878</v>
      </c>
      <c r="C50" s="35">
        <v>49</v>
      </c>
      <c r="D50" s="35">
        <v>61.7</v>
      </c>
      <c r="E50" s="35">
        <v>31.1</v>
      </c>
      <c r="F50" s="35">
        <v>184.9</v>
      </c>
      <c r="G50" s="35">
        <v>153.80000000000001</v>
      </c>
    </row>
    <row r="51" spans="1:7" ht="15" x14ac:dyDescent="0.2">
      <c r="A51" s="34" t="s">
        <v>100</v>
      </c>
      <c r="B51" s="37">
        <v>45879</v>
      </c>
      <c r="C51" s="35">
        <v>50</v>
      </c>
      <c r="D51" s="35">
        <v>60.6</v>
      </c>
      <c r="E51" s="35">
        <v>29.6</v>
      </c>
      <c r="F51" s="35">
        <v>179.2</v>
      </c>
      <c r="G51" s="35">
        <v>149.69999999999999</v>
      </c>
    </row>
    <row r="52" spans="1:7" ht="15" x14ac:dyDescent="0.2">
      <c r="A52" s="34" t="s">
        <v>100</v>
      </c>
      <c r="B52" s="37">
        <v>45880</v>
      </c>
      <c r="C52" s="35">
        <v>51</v>
      </c>
      <c r="D52" s="35">
        <v>61.2</v>
      </c>
      <c r="E52" s="35">
        <v>29.6</v>
      </c>
      <c r="F52" s="35">
        <v>170.9</v>
      </c>
      <c r="G52" s="35">
        <v>141.4</v>
      </c>
    </row>
    <row r="53" spans="1:7" ht="15" x14ac:dyDescent="0.2">
      <c r="A53" s="34" t="s">
        <v>100</v>
      </c>
      <c r="B53" s="37">
        <v>45881</v>
      </c>
      <c r="C53" s="35">
        <v>52</v>
      </c>
      <c r="D53" s="35">
        <v>62.3</v>
      </c>
      <c r="E53" s="35">
        <v>30.1</v>
      </c>
      <c r="F53" s="35">
        <v>181.2</v>
      </c>
      <c r="G53" s="35">
        <v>151</v>
      </c>
    </row>
    <row r="54" spans="1:7" ht="15" x14ac:dyDescent="0.2">
      <c r="A54" s="34" t="s">
        <v>100</v>
      </c>
      <c r="B54" s="37">
        <v>45882</v>
      </c>
      <c r="C54" s="35">
        <v>53</v>
      </c>
      <c r="D54" s="35">
        <v>50.8</v>
      </c>
      <c r="E54" s="35">
        <v>17.899999999999999</v>
      </c>
      <c r="F54" s="35">
        <v>160.6</v>
      </c>
      <c r="G54" s="35">
        <v>142.69999999999999</v>
      </c>
    </row>
    <row r="55" spans="1:7" ht="15" x14ac:dyDescent="0.2">
      <c r="A55" s="34" t="s">
        <v>100</v>
      </c>
      <c r="B55" s="37">
        <v>45883</v>
      </c>
      <c r="C55" s="35">
        <v>54</v>
      </c>
      <c r="D55" s="35">
        <v>52.4</v>
      </c>
      <c r="E55" s="35">
        <v>18.8</v>
      </c>
      <c r="F55" s="35">
        <v>176.2</v>
      </c>
      <c r="G55" s="35">
        <v>157.4</v>
      </c>
    </row>
    <row r="56" spans="1:7" ht="15" x14ac:dyDescent="0.2">
      <c r="A56" s="34" t="s">
        <v>100</v>
      </c>
      <c r="B56" s="37">
        <v>45884</v>
      </c>
      <c r="C56" s="35">
        <v>55</v>
      </c>
      <c r="D56" s="35">
        <v>52.3</v>
      </c>
      <c r="E56" s="35">
        <v>17.7</v>
      </c>
      <c r="F56" s="35">
        <v>168.9</v>
      </c>
      <c r="G56" s="35">
        <v>151.1</v>
      </c>
    </row>
    <row r="57" spans="1:7" ht="15" x14ac:dyDescent="0.2">
      <c r="A57" s="34" t="s">
        <v>100</v>
      </c>
      <c r="B57" s="37">
        <v>45885</v>
      </c>
      <c r="C57" s="35">
        <v>56</v>
      </c>
      <c r="D57" s="35">
        <v>55.7</v>
      </c>
      <c r="E57" s="35">
        <v>20.3</v>
      </c>
      <c r="F57" s="35">
        <v>162.69999999999999</v>
      </c>
      <c r="G57" s="35">
        <v>142.5</v>
      </c>
    </row>
    <row r="58" spans="1:7" ht="15" x14ac:dyDescent="0.2">
      <c r="A58" s="34" t="s">
        <v>100</v>
      </c>
      <c r="B58" s="37">
        <v>45886</v>
      </c>
      <c r="C58" s="35">
        <v>57</v>
      </c>
      <c r="D58" s="35">
        <v>55.5</v>
      </c>
      <c r="E58" s="35">
        <v>19.100000000000001</v>
      </c>
      <c r="F58" s="35">
        <v>159.80000000000001</v>
      </c>
      <c r="G58" s="35">
        <v>140.69999999999999</v>
      </c>
    </row>
    <row r="59" spans="1:7" ht="15" x14ac:dyDescent="0.2">
      <c r="A59" s="34" t="s">
        <v>100</v>
      </c>
      <c r="B59" s="37">
        <v>45887</v>
      </c>
      <c r="C59" s="35">
        <v>58</v>
      </c>
      <c r="D59" s="35">
        <v>43.7</v>
      </c>
      <c r="E59" s="35">
        <v>6.3</v>
      </c>
      <c r="F59" s="35">
        <v>152.4</v>
      </c>
      <c r="G59" s="35">
        <v>146.1</v>
      </c>
    </row>
    <row r="60" spans="1:7" ht="15" x14ac:dyDescent="0.2">
      <c r="A60" s="34" t="s">
        <v>100</v>
      </c>
      <c r="B60" s="37">
        <v>45888</v>
      </c>
      <c r="C60" s="35">
        <v>59</v>
      </c>
      <c r="D60" s="35">
        <v>44.3</v>
      </c>
      <c r="E60" s="35">
        <v>5.9</v>
      </c>
      <c r="F60" s="35">
        <v>164.6</v>
      </c>
      <c r="G60" s="35">
        <v>158.69999999999999</v>
      </c>
    </row>
    <row r="61" spans="1:7" ht="15" x14ac:dyDescent="0.2">
      <c r="A61" s="34" t="s">
        <v>100</v>
      </c>
      <c r="B61" s="37">
        <v>45889</v>
      </c>
      <c r="C61" s="35">
        <v>60</v>
      </c>
      <c r="D61" s="35">
        <v>46.3</v>
      </c>
      <c r="E61" s="35">
        <v>6.8</v>
      </c>
      <c r="F61" s="35">
        <v>149.30000000000001</v>
      </c>
      <c r="G61" s="35">
        <v>142.5</v>
      </c>
    </row>
    <row r="62" spans="1:7" ht="15" x14ac:dyDescent="0.2">
      <c r="A62" s="34" t="s">
        <v>100</v>
      </c>
      <c r="B62" s="37">
        <v>45890</v>
      </c>
      <c r="C62" s="35">
        <v>61</v>
      </c>
      <c r="D62" s="35">
        <v>50.9</v>
      </c>
      <c r="E62" s="35">
        <v>10.4</v>
      </c>
      <c r="F62" s="35">
        <v>151.6</v>
      </c>
      <c r="G62" s="35">
        <v>141.19999999999999</v>
      </c>
    </row>
    <row r="63" spans="1:7" ht="15" x14ac:dyDescent="0.2">
      <c r="A63" s="34" t="s">
        <v>100</v>
      </c>
      <c r="B63" s="37">
        <v>45891</v>
      </c>
      <c r="C63" s="35">
        <v>62</v>
      </c>
      <c r="D63" s="35">
        <v>50.8</v>
      </c>
      <c r="E63" s="35">
        <v>9.1999999999999993</v>
      </c>
      <c r="F63" s="35">
        <v>156.6</v>
      </c>
      <c r="G63" s="35">
        <v>147.4</v>
      </c>
    </row>
    <row r="64" spans="1:7" ht="15" x14ac:dyDescent="0.2">
      <c r="A64" s="34" t="s">
        <v>100</v>
      </c>
      <c r="B64" s="37">
        <v>45892</v>
      </c>
      <c r="C64" s="35">
        <v>63</v>
      </c>
      <c r="D64" s="35">
        <v>50.6</v>
      </c>
      <c r="E64" s="35">
        <v>8</v>
      </c>
      <c r="F64" s="35">
        <v>153.6</v>
      </c>
      <c r="G64" s="35">
        <v>145.6</v>
      </c>
    </row>
    <row r="65" spans="1:7" ht="15" x14ac:dyDescent="0.2">
      <c r="A65" s="34" t="s">
        <v>100</v>
      </c>
      <c r="B65" s="37">
        <v>45893</v>
      </c>
      <c r="C65" s="35">
        <v>64</v>
      </c>
      <c r="D65" s="35">
        <v>56.3</v>
      </c>
      <c r="E65" s="35">
        <v>12.7</v>
      </c>
      <c r="F65" s="35">
        <v>154.9</v>
      </c>
      <c r="G65" s="35">
        <v>142.19999999999999</v>
      </c>
    </row>
    <row r="66" spans="1:7" ht="15" x14ac:dyDescent="0.2">
      <c r="A66" s="34" t="s">
        <v>100</v>
      </c>
      <c r="B66" s="37">
        <v>45894</v>
      </c>
      <c r="C66" s="35">
        <v>65</v>
      </c>
      <c r="D66" s="35">
        <v>56.1</v>
      </c>
      <c r="E66" s="35">
        <v>11.5</v>
      </c>
      <c r="F66" s="35">
        <v>154.6</v>
      </c>
      <c r="G66" s="35">
        <v>143.1</v>
      </c>
    </row>
    <row r="67" spans="1:7" ht="15" x14ac:dyDescent="0.2">
      <c r="A67" s="34" t="s">
        <v>100</v>
      </c>
      <c r="B67" s="37">
        <v>45895</v>
      </c>
      <c r="C67" s="35">
        <v>66</v>
      </c>
      <c r="D67" s="35">
        <v>52.4</v>
      </c>
      <c r="E67" s="35">
        <v>6.9</v>
      </c>
      <c r="F67" s="35">
        <v>150.6</v>
      </c>
      <c r="G67" s="35">
        <v>143.69999999999999</v>
      </c>
    </row>
    <row r="68" spans="1:7" ht="15" x14ac:dyDescent="0.2">
      <c r="A68" s="34" t="s">
        <v>100</v>
      </c>
      <c r="B68" s="37">
        <v>45896</v>
      </c>
      <c r="C68" s="35">
        <v>67</v>
      </c>
      <c r="D68" s="35">
        <v>43.8</v>
      </c>
      <c r="E68" s="35">
        <v>0</v>
      </c>
      <c r="F68" s="35">
        <v>144.1</v>
      </c>
      <c r="G68" s="35">
        <v>144.1</v>
      </c>
    </row>
    <row r="69" spans="1:7" ht="15" x14ac:dyDescent="0.2">
      <c r="A69" s="34" t="s">
        <v>100</v>
      </c>
      <c r="B69" s="37">
        <v>45897</v>
      </c>
      <c r="C69" s="35">
        <v>68</v>
      </c>
      <c r="D69" s="35">
        <v>58.4</v>
      </c>
      <c r="E69" s="35">
        <v>11.3</v>
      </c>
      <c r="F69" s="35">
        <v>161.30000000000001</v>
      </c>
      <c r="G69" s="35">
        <v>150</v>
      </c>
    </row>
    <row r="70" spans="1:7" ht="15" x14ac:dyDescent="0.2">
      <c r="A70" s="34" t="s">
        <v>100</v>
      </c>
      <c r="B70" s="37">
        <v>45898</v>
      </c>
      <c r="C70" s="35">
        <v>69</v>
      </c>
      <c r="D70" s="35">
        <v>53.5</v>
      </c>
      <c r="E70" s="35">
        <v>5.7</v>
      </c>
      <c r="F70" s="35">
        <v>147.30000000000001</v>
      </c>
      <c r="G70" s="35">
        <v>141.6</v>
      </c>
    </row>
    <row r="71" spans="1:7" ht="15" x14ac:dyDescent="0.2">
      <c r="A71" s="34" t="s">
        <v>100</v>
      </c>
      <c r="B71" s="37">
        <v>45899</v>
      </c>
      <c r="C71" s="35">
        <v>70</v>
      </c>
      <c r="D71" s="35">
        <v>60.6</v>
      </c>
      <c r="E71" s="35">
        <v>12.1</v>
      </c>
      <c r="F71" s="35">
        <v>152.1</v>
      </c>
      <c r="G71" s="35">
        <v>139.9</v>
      </c>
    </row>
    <row r="72" spans="1:7" ht="15" x14ac:dyDescent="0.2">
      <c r="A72" s="34" t="s">
        <v>100</v>
      </c>
      <c r="B72" s="37">
        <v>45900</v>
      </c>
      <c r="C72" s="35">
        <v>71</v>
      </c>
      <c r="D72" s="35">
        <v>59.4</v>
      </c>
      <c r="E72" s="35">
        <v>10.5</v>
      </c>
      <c r="F72" s="35">
        <v>153.6</v>
      </c>
      <c r="G72" s="35">
        <v>143.19999999999999</v>
      </c>
    </row>
    <row r="73" spans="1:7" ht="15" x14ac:dyDescent="0.2">
      <c r="A73" s="34" t="s">
        <v>100</v>
      </c>
      <c r="B73" s="37">
        <v>45901</v>
      </c>
      <c r="C73" s="35">
        <v>72</v>
      </c>
      <c r="D73" s="35">
        <v>61.6</v>
      </c>
      <c r="E73" s="35">
        <v>12.2</v>
      </c>
      <c r="F73" s="35">
        <v>155.30000000000001</v>
      </c>
      <c r="G73" s="35">
        <v>143</v>
      </c>
    </row>
    <row r="74" spans="1:7" ht="15" x14ac:dyDescent="0.2">
      <c r="A74" s="34" t="s">
        <v>100</v>
      </c>
      <c r="B74" s="37">
        <v>45902</v>
      </c>
      <c r="C74" s="35">
        <v>73</v>
      </c>
      <c r="D74" s="35">
        <v>64.8</v>
      </c>
      <c r="E74" s="35">
        <v>15.1</v>
      </c>
      <c r="F74" s="35">
        <v>162.9</v>
      </c>
      <c r="G74" s="35">
        <v>147.80000000000001</v>
      </c>
    </row>
    <row r="75" spans="1:7" ht="15" x14ac:dyDescent="0.2">
      <c r="A75" s="34" t="s">
        <v>100</v>
      </c>
      <c r="B75" s="37">
        <v>45903</v>
      </c>
      <c r="C75" s="35">
        <v>74</v>
      </c>
      <c r="D75" s="35">
        <v>76.2</v>
      </c>
      <c r="E75" s="35">
        <v>26.3</v>
      </c>
      <c r="F75" s="35">
        <v>179.4</v>
      </c>
      <c r="G75" s="35">
        <v>153.1</v>
      </c>
    </row>
    <row r="76" spans="1:7" ht="15" x14ac:dyDescent="0.2">
      <c r="A76" s="34" t="s">
        <v>100</v>
      </c>
      <c r="B76" s="37">
        <v>45904</v>
      </c>
      <c r="C76" s="35">
        <v>75</v>
      </c>
      <c r="D76" s="35">
        <v>58.5</v>
      </c>
      <c r="E76" s="35">
        <v>8.5</v>
      </c>
      <c r="F76" s="35">
        <v>146.9</v>
      </c>
      <c r="G76" s="35">
        <v>138.4</v>
      </c>
    </row>
    <row r="77" spans="1:7" ht="15" x14ac:dyDescent="0.2">
      <c r="A77" s="34" t="s">
        <v>100</v>
      </c>
      <c r="B77" s="37">
        <v>45905</v>
      </c>
      <c r="C77" s="35">
        <v>76</v>
      </c>
      <c r="D77" s="35">
        <v>69.2</v>
      </c>
      <c r="E77" s="35">
        <v>19.2</v>
      </c>
      <c r="F77" s="35">
        <v>170.6</v>
      </c>
      <c r="G77" s="35">
        <v>151.4</v>
      </c>
    </row>
    <row r="78" spans="1:7" ht="15" x14ac:dyDescent="0.2">
      <c r="A78" s="34" t="s">
        <v>100</v>
      </c>
      <c r="B78" s="37">
        <v>45906</v>
      </c>
      <c r="C78" s="35">
        <v>77</v>
      </c>
      <c r="D78" s="35">
        <v>69.099999999999994</v>
      </c>
      <c r="E78" s="35">
        <v>19.3</v>
      </c>
      <c r="F78" s="35">
        <v>155.9</v>
      </c>
      <c r="G78" s="35">
        <v>136.69999999999999</v>
      </c>
    </row>
    <row r="79" spans="1:7" ht="15" x14ac:dyDescent="0.2">
      <c r="A79" s="34" t="s">
        <v>100</v>
      </c>
      <c r="B79" s="37">
        <v>45907</v>
      </c>
      <c r="C79" s="35">
        <v>78</v>
      </c>
      <c r="D79" s="35">
        <v>67.8</v>
      </c>
      <c r="E79" s="35">
        <v>18.2</v>
      </c>
      <c r="F79" s="35">
        <v>161.80000000000001</v>
      </c>
      <c r="G79" s="35">
        <v>143.5</v>
      </c>
    </row>
    <row r="80" spans="1:7" ht="15" x14ac:dyDescent="0.2">
      <c r="A80" s="34" t="s">
        <v>100</v>
      </c>
      <c r="B80" s="37">
        <v>45908</v>
      </c>
      <c r="C80" s="35">
        <v>79</v>
      </c>
      <c r="D80" s="35">
        <v>75.599999999999994</v>
      </c>
      <c r="E80" s="35">
        <v>26.3</v>
      </c>
      <c r="F80" s="35">
        <v>168</v>
      </c>
      <c r="G80" s="35">
        <v>141.69999999999999</v>
      </c>
    </row>
    <row r="81" spans="1:7" ht="15" x14ac:dyDescent="0.2">
      <c r="A81" s="34" t="s">
        <v>100</v>
      </c>
      <c r="B81" s="37">
        <v>45909</v>
      </c>
      <c r="C81" s="35">
        <v>80</v>
      </c>
      <c r="D81" s="35">
        <v>80.599999999999994</v>
      </c>
      <c r="E81" s="35">
        <v>31.7</v>
      </c>
      <c r="F81" s="35">
        <v>168.8</v>
      </c>
      <c r="G81" s="35">
        <v>137.1</v>
      </c>
    </row>
    <row r="82" spans="1:7" ht="15" x14ac:dyDescent="0.2">
      <c r="A82" s="34" t="s">
        <v>100</v>
      </c>
      <c r="B82" s="37">
        <v>45910</v>
      </c>
      <c r="C82" s="35">
        <v>81</v>
      </c>
      <c r="D82" s="35">
        <v>85.6</v>
      </c>
      <c r="E82" s="35">
        <v>37.299999999999997</v>
      </c>
      <c r="F82" s="35">
        <v>178.1</v>
      </c>
      <c r="G82" s="35">
        <v>140.80000000000001</v>
      </c>
    </row>
    <row r="83" spans="1:7" ht="15" x14ac:dyDescent="0.2">
      <c r="A83" s="34" t="s">
        <v>100</v>
      </c>
      <c r="B83" s="37">
        <v>45911</v>
      </c>
      <c r="C83" s="35">
        <v>82</v>
      </c>
      <c r="D83" s="35">
        <v>80.900000000000006</v>
      </c>
      <c r="E83" s="35">
        <v>33.299999999999997</v>
      </c>
      <c r="F83" s="35">
        <v>174.8</v>
      </c>
      <c r="G83" s="35">
        <v>141.5</v>
      </c>
    </row>
    <row r="84" spans="1:7" ht="15" x14ac:dyDescent="0.2">
      <c r="A84" s="34" t="s">
        <v>100</v>
      </c>
      <c r="B84" s="37">
        <v>45912</v>
      </c>
      <c r="C84" s="35">
        <v>83</v>
      </c>
      <c r="D84" s="35">
        <v>83.7</v>
      </c>
      <c r="E84" s="35">
        <v>36.700000000000003</v>
      </c>
      <c r="F84" s="35">
        <v>174.3</v>
      </c>
      <c r="G84" s="35">
        <v>137.6</v>
      </c>
    </row>
    <row r="85" spans="1:7" ht="15" x14ac:dyDescent="0.2">
      <c r="A85" s="34" t="s">
        <v>100</v>
      </c>
      <c r="B85" s="37">
        <v>45913</v>
      </c>
      <c r="C85" s="35">
        <v>84</v>
      </c>
      <c r="D85" s="35">
        <v>87.7</v>
      </c>
      <c r="E85" s="35">
        <v>41.6</v>
      </c>
      <c r="F85" s="35">
        <v>173.5</v>
      </c>
      <c r="G85" s="35">
        <v>131.9</v>
      </c>
    </row>
    <row r="86" spans="1:7" ht="15" x14ac:dyDescent="0.2">
      <c r="A86" s="34" t="s">
        <v>100</v>
      </c>
      <c r="B86" s="37">
        <v>45914</v>
      </c>
      <c r="C86" s="35">
        <v>85</v>
      </c>
      <c r="D86" s="35">
        <v>91.9</v>
      </c>
      <c r="E86" s="35">
        <v>46.6</v>
      </c>
      <c r="F86" s="35">
        <v>179.9</v>
      </c>
      <c r="G86" s="35">
        <v>133.30000000000001</v>
      </c>
    </row>
    <row r="87" spans="1:7" ht="15" x14ac:dyDescent="0.2">
      <c r="A87" s="34" t="s">
        <v>100</v>
      </c>
      <c r="B87" s="37">
        <v>45915</v>
      </c>
      <c r="C87" s="35">
        <v>86</v>
      </c>
      <c r="D87" s="35">
        <v>90.9</v>
      </c>
      <c r="E87" s="35">
        <v>46.5</v>
      </c>
      <c r="F87" s="35">
        <v>176.1</v>
      </c>
      <c r="G87" s="35">
        <v>129.6</v>
      </c>
    </row>
    <row r="88" spans="1:7" ht="15" x14ac:dyDescent="0.2">
      <c r="A88" s="34" t="s">
        <v>100</v>
      </c>
      <c r="B88" s="37">
        <v>45916</v>
      </c>
      <c r="C88" s="35">
        <v>87</v>
      </c>
      <c r="D88" s="35">
        <v>106.7</v>
      </c>
      <c r="E88" s="35">
        <v>63.4</v>
      </c>
      <c r="F88" s="35">
        <v>193.1</v>
      </c>
      <c r="G88" s="35">
        <v>129.69999999999999</v>
      </c>
    </row>
    <row r="89" spans="1:7" ht="15" x14ac:dyDescent="0.2">
      <c r="A89" s="34" t="s">
        <v>100</v>
      </c>
      <c r="B89" s="37">
        <v>45917</v>
      </c>
      <c r="C89" s="35">
        <v>88</v>
      </c>
      <c r="D89" s="35">
        <v>94.3</v>
      </c>
      <c r="E89" s="35">
        <v>51.9</v>
      </c>
      <c r="F89" s="35">
        <v>186.3</v>
      </c>
      <c r="G89" s="35">
        <v>134.4</v>
      </c>
    </row>
    <row r="90" spans="1:7" ht="15" x14ac:dyDescent="0.2">
      <c r="A90" s="34" t="s">
        <v>100</v>
      </c>
      <c r="B90" s="37">
        <v>45918</v>
      </c>
      <c r="C90" s="35">
        <v>89</v>
      </c>
      <c r="D90" s="35">
        <v>98.4</v>
      </c>
      <c r="E90" s="35">
        <v>57.1</v>
      </c>
      <c r="F90" s="35">
        <v>184.3</v>
      </c>
      <c r="G90" s="35">
        <v>127.2</v>
      </c>
    </row>
    <row r="91" spans="1:7" ht="15" x14ac:dyDescent="0.2">
      <c r="A91" s="34" t="s">
        <v>100</v>
      </c>
      <c r="B91" s="37">
        <v>45919</v>
      </c>
      <c r="C91" s="35">
        <v>90</v>
      </c>
      <c r="D91" s="35">
        <v>95.8</v>
      </c>
      <c r="E91" s="35">
        <v>55.5</v>
      </c>
      <c r="F91" s="35">
        <v>177.2</v>
      </c>
      <c r="G91" s="35">
        <v>121.7</v>
      </c>
    </row>
    <row r="92" spans="1:7" ht="15" x14ac:dyDescent="0.2">
      <c r="A92" s="34" t="s">
        <v>100</v>
      </c>
      <c r="B92" s="37">
        <v>45920</v>
      </c>
      <c r="C92" s="35">
        <v>91</v>
      </c>
      <c r="D92" s="35">
        <v>88.4</v>
      </c>
      <c r="E92" s="35">
        <v>49.2</v>
      </c>
      <c r="F92" s="35">
        <v>170.8</v>
      </c>
      <c r="G92" s="35">
        <v>121.6</v>
      </c>
    </row>
    <row r="93" spans="1:7" ht="15" x14ac:dyDescent="0.2">
      <c r="A93" s="34" t="s">
        <v>100</v>
      </c>
      <c r="B93" s="37">
        <v>45921</v>
      </c>
      <c r="C93" s="35">
        <v>92</v>
      </c>
      <c r="D93" s="35">
        <v>95.5</v>
      </c>
      <c r="E93" s="35">
        <v>57.3</v>
      </c>
      <c r="F93" s="35">
        <v>180.8</v>
      </c>
      <c r="G93" s="35">
        <v>123.5</v>
      </c>
    </row>
    <row r="94" spans="1:7" ht="15" x14ac:dyDescent="0.2">
      <c r="A94" s="34" t="s">
        <v>100</v>
      </c>
      <c r="B94" s="37">
        <v>45922</v>
      </c>
      <c r="C94" s="35">
        <v>93</v>
      </c>
      <c r="D94" s="35">
        <v>114.3</v>
      </c>
      <c r="E94" s="35">
        <v>77.099999999999994</v>
      </c>
      <c r="F94" s="35">
        <v>196.5</v>
      </c>
      <c r="G94" s="35">
        <v>119.4</v>
      </c>
    </row>
    <row r="95" spans="1:7" ht="15" x14ac:dyDescent="0.2">
      <c r="A95" s="34" t="s">
        <v>100</v>
      </c>
      <c r="B95" s="37">
        <v>45923</v>
      </c>
      <c r="C95" s="35">
        <v>94</v>
      </c>
      <c r="D95" s="35">
        <v>103.2</v>
      </c>
      <c r="E95" s="35">
        <v>67.099999999999994</v>
      </c>
      <c r="F95" s="35">
        <v>195</v>
      </c>
      <c r="G95" s="35">
        <v>128</v>
      </c>
    </row>
    <row r="96" spans="1:7" ht="15" x14ac:dyDescent="0.2">
      <c r="A96" s="34" t="s">
        <v>100</v>
      </c>
      <c r="B96" s="37">
        <v>45924</v>
      </c>
      <c r="C96" s="35">
        <v>95</v>
      </c>
      <c r="D96" s="35">
        <v>109.5</v>
      </c>
      <c r="E96" s="35">
        <v>74.3</v>
      </c>
      <c r="F96" s="35">
        <v>208.6</v>
      </c>
      <c r="G96" s="35">
        <v>134.30000000000001</v>
      </c>
    </row>
    <row r="97" spans="1:7" ht="15" x14ac:dyDescent="0.2">
      <c r="A97" s="34" t="s">
        <v>100</v>
      </c>
      <c r="B97" s="37">
        <v>45925</v>
      </c>
      <c r="C97" s="35">
        <v>96</v>
      </c>
      <c r="D97" s="35">
        <v>107.7</v>
      </c>
      <c r="E97" s="35">
        <v>73.400000000000006</v>
      </c>
      <c r="F97" s="35">
        <v>210.5</v>
      </c>
      <c r="G97" s="35">
        <v>137.1</v>
      </c>
    </row>
    <row r="98" spans="1:7" ht="15" x14ac:dyDescent="0.2">
      <c r="A98" s="34" t="s">
        <v>100</v>
      </c>
      <c r="B98" s="37">
        <v>45926</v>
      </c>
      <c r="C98" s="35">
        <v>97</v>
      </c>
      <c r="D98" s="35">
        <v>108.8</v>
      </c>
      <c r="E98" s="35">
        <v>75.3</v>
      </c>
      <c r="F98" s="35">
        <v>191.8</v>
      </c>
      <c r="G98" s="35">
        <v>116.5</v>
      </c>
    </row>
    <row r="99" spans="1:7" ht="15" x14ac:dyDescent="0.2">
      <c r="A99" s="34" t="s">
        <v>100</v>
      </c>
      <c r="B99" s="37">
        <v>45927</v>
      </c>
      <c r="C99" s="35">
        <v>98</v>
      </c>
      <c r="D99" s="35">
        <v>111.1</v>
      </c>
      <c r="E99" s="35">
        <v>78.400000000000006</v>
      </c>
      <c r="F99" s="35">
        <v>200.2</v>
      </c>
      <c r="G99" s="35">
        <v>121.8</v>
      </c>
    </row>
    <row r="100" spans="1:7" ht="15" x14ac:dyDescent="0.2">
      <c r="A100" s="34" t="s">
        <v>100</v>
      </c>
      <c r="B100" s="37">
        <v>45928</v>
      </c>
      <c r="C100" s="35">
        <v>99</v>
      </c>
      <c r="D100" s="35">
        <v>96.8</v>
      </c>
      <c r="E100" s="35">
        <v>64.8</v>
      </c>
      <c r="F100" s="35">
        <v>187.2</v>
      </c>
      <c r="G100" s="35">
        <v>122.4</v>
      </c>
    </row>
    <row r="101" spans="1:7" ht="15" x14ac:dyDescent="0.2">
      <c r="A101" s="34" t="s">
        <v>100</v>
      </c>
      <c r="B101" s="37">
        <v>45929</v>
      </c>
      <c r="C101" s="35">
        <v>100</v>
      </c>
      <c r="D101" s="35">
        <v>108.1</v>
      </c>
      <c r="E101" s="35">
        <v>76.7</v>
      </c>
      <c r="F101" s="35">
        <v>203.2</v>
      </c>
      <c r="G101" s="35">
        <v>126.5</v>
      </c>
    </row>
    <row r="102" spans="1:7" ht="15" x14ac:dyDescent="0.2">
      <c r="A102" s="34" t="s">
        <v>100</v>
      </c>
      <c r="B102" s="37">
        <v>45930</v>
      </c>
      <c r="C102" s="35">
        <v>101</v>
      </c>
      <c r="D102" s="35">
        <v>111.7</v>
      </c>
      <c r="E102" s="35">
        <v>80.7</v>
      </c>
      <c r="F102" s="35">
        <v>209.5</v>
      </c>
      <c r="G102" s="35">
        <v>128.69999999999999</v>
      </c>
    </row>
    <row r="103" spans="1:7" ht="15" x14ac:dyDescent="0.2">
      <c r="A103" s="34" t="s">
        <v>100</v>
      </c>
      <c r="B103" s="37">
        <v>45931</v>
      </c>
      <c r="C103" s="35">
        <v>102</v>
      </c>
      <c r="D103" s="35">
        <v>110.2</v>
      </c>
      <c r="E103" s="35">
        <v>79.7</v>
      </c>
      <c r="F103" s="35">
        <v>198.3</v>
      </c>
      <c r="G103" s="35">
        <v>118.6</v>
      </c>
    </row>
    <row r="104" spans="1:7" ht="15" x14ac:dyDescent="0.2">
      <c r="A104" s="34" t="s">
        <v>100</v>
      </c>
      <c r="B104" s="37">
        <v>45932</v>
      </c>
      <c r="C104" s="35">
        <v>103</v>
      </c>
      <c r="D104" s="35">
        <v>100.6</v>
      </c>
      <c r="E104" s="35">
        <v>70.3</v>
      </c>
      <c r="F104" s="35">
        <v>199.1</v>
      </c>
      <c r="G104" s="35">
        <v>128.69999999999999</v>
      </c>
    </row>
    <row r="105" spans="1:7" ht="15" x14ac:dyDescent="0.2">
      <c r="A105" s="34" t="s">
        <v>100</v>
      </c>
      <c r="B105" s="37">
        <v>45933</v>
      </c>
      <c r="C105" s="35">
        <v>104</v>
      </c>
      <c r="D105" s="35">
        <v>111.3</v>
      </c>
      <c r="E105" s="35">
        <v>81.3</v>
      </c>
      <c r="F105" s="35">
        <v>198.9</v>
      </c>
      <c r="G105" s="35">
        <v>117.6</v>
      </c>
    </row>
    <row r="106" spans="1:7" ht="15" x14ac:dyDescent="0.2">
      <c r="A106" s="34" t="s">
        <v>100</v>
      </c>
      <c r="B106" s="37">
        <v>45934</v>
      </c>
      <c r="C106" s="35">
        <v>105</v>
      </c>
      <c r="D106" s="35">
        <v>105.6</v>
      </c>
      <c r="E106" s="35">
        <v>75.599999999999994</v>
      </c>
      <c r="F106" s="35">
        <v>200.3</v>
      </c>
      <c r="G106" s="35">
        <v>124.7</v>
      </c>
    </row>
    <row r="107" spans="1:7" ht="15" x14ac:dyDescent="0.2">
      <c r="A107" s="34" t="s">
        <v>100</v>
      </c>
      <c r="B107" s="37">
        <v>45935</v>
      </c>
      <c r="C107" s="35">
        <v>106</v>
      </c>
      <c r="D107" s="35">
        <v>102</v>
      </c>
      <c r="E107" s="35">
        <v>71.900000000000006</v>
      </c>
      <c r="F107" s="35">
        <v>199.1</v>
      </c>
      <c r="G107" s="35">
        <v>127.2</v>
      </c>
    </row>
    <row r="108" spans="1:7" ht="15" x14ac:dyDescent="0.2">
      <c r="A108" s="34" t="s">
        <v>100</v>
      </c>
      <c r="B108" s="37">
        <v>45936</v>
      </c>
      <c r="C108" s="35">
        <v>107</v>
      </c>
      <c r="D108" s="35">
        <v>106.7</v>
      </c>
      <c r="E108" s="35">
        <v>76.599999999999994</v>
      </c>
      <c r="F108" s="35">
        <v>195.5</v>
      </c>
      <c r="G108" s="35">
        <v>119</v>
      </c>
    </row>
    <row r="109" spans="1:7" ht="15" x14ac:dyDescent="0.2">
      <c r="A109" s="34" t="s">
        <v>100</v>
      </c>
      <c r="B109" s="37">
        <v>45937</v>
      </c>
      <c r="C109" s="35">
        <v>108</v>
      </c>
      <c r="D109" s="35">
        <v>115.5</v>
      </c>
      <c r="E109" s="35">
        <v>85.1</v>
      </c>
      <c r="F109" s="35">
        <v>211.9</v>
      </c>
      <c r="G109" s="35">
        <v>126.8</v>
      </c>
    </row>
    <row r="110" spans="1:7" ht="15" x14ac:dyDescent="0.2">
      <c r="A110" s="34" t="s">
        <v>100</v>
      </c>
      <c r="B110" s="37">
        <v>45938</v>
      </c>
      <c r="C110" s="35">
        <v>109</v>
      </c>
      <c r="D110" s="35">
        <v>106.4</v>
      </c>
      <c r="E110" s="35">
        <v>75.599999999999994</v>
      </c>
      <c r="F110" s="35">
        <v>198.4</v>
      </c>
      <c r="G110" s="35">
        <v>122.8</v>
      </c>
    </row>
    <row r="111" spans="1:7" ht="15" x14ac:dyDescent="0.2">
      <c r="A111" s="34" t="s">
        <v>100</v>
      </c>
      <c r="B111" s="37">
        <v>45939</v>
      </c>
      <c r="C111" s="35">
        <v>110</v>
      </c>
      <c r="D111" s="35">
        <v>107.2</v>
      </c>
      <c r="E111" s="35">
        <v>75.900000000000006</v>
      </c>
      <c r="F111" s="35">
        <v>199.5</v>
      </c>
      <c r="G111" s="35">
        <v>123.5</v>
      </c>
    </row>
    <row r="112" spans="1:7" ht="15" x14ac:dyDescent="0.2">
      <c r="A112" s="34" t="s">
        <v>100</v>
      </c>
      <c r="B112" s="37">
        <v>45940</v>
      </c>
      <c r="C112" s="35">
        <v>111</v>
      </c>
      <c r="D112" s="35">
        <v>92.6</v>
      </c>
      <c r="E112" s="35">
        <v>60.7</v>
      </c>
      <c r="F112" s="35">
        <v>185.4</v>
      </c>
      <c r="G112" s="35">
        <v>124.7</v>
      </c>
    </row>
    <row r="113" spans="1:7" ht="15" x14ac:dyDescent="0.2">
      <c r="A113" s="34" t="s">
        <v>100</v>
      </c>
      <c r="B113" s="37">
        <v>45941</v>
      </c>
      <c r="C113" s="35">
        <v>112</v>
      </c>
      <c r="D113" s="35">
        <v>95.2</v>
      </c>
      <c r="E113" s="35">
        <v>62.7</v>
      </c>
      <c r="F113" s="35">
        <v>196.6</v>
      </c>
      <c r="G113" s="35">
        <v>133.9</v>
      </c>
    </row>
    <row r="114" spans="1:7" ht="15" x14ac:dyDescent="0.2">
      <c r="A114" s="34" t="s">
        <v>100</v>
      </c>
      <c r="B114" s="37">
        <v>45942</v>
      </c>
      <c r="C114" s="35">
        <v>113</v>
      </c>
      <c r="D114" s="35">
        <v>100.3</v>
      </c>
      <c r="E114" s="35">
        <v>67</v>
      </c>
      <c r="F114" s="35">
        <v>197.2</v>
      </c>
      <c r="G114" s="35">
        <v>130.19999999999999</v>
      </c>
    </row>
    <row r="115" spans="1:7" ht="15" x14ac:dyDescent="0.2">
      <c r="A115" s="34" t="s">
        <v>100</v>
      </c>
      <c r="B115" s="37">
        <v>45943</v>
      </c>
      <c r="C115" s="35">
        <v>114</v>
      </c>
      <c r="D115" s="35">
        <v>90.3</v>
      </c>
      <c r="E115" s="35">
        <v>56.2</v>
      </c>
      <c r="F115" s="35">
        <v>185.4</v>
      </c>
      <c r="G115" s="35">
        <v>129.19999999999999</v>
      </c>
    </row>
    <row r="116" spans="1:7" ht="15" x14ac:dyDescent="0.2">
      <c r="A116" s="34" t="s">
        <v>100</v>
      </c>
      <c r="B116" s="37">
        <v>45944</v>
      </c>
      <c r="C116" s="35">
        <v>115</v>
      </c>
      <c r="D116" s="35">
        <v>91.3</v>
      </c>
      <c r="E116" s="35">
        <v>56.4</v>
      </c>
      <c r="F116" s="35">
        <v>187</v>
      </c>
      <c r="G116" s="35">
        <v>130.6</v>
      </c>
    </row>
    <row r="117" spans="1:7" ht="15" x14ac:dyDescent="0.2">
      <c r="A117" s="34" t="s">
        <v>100</v>
      </c>
      <c r="B117" s="37">
        <v>45945</v>
      </c>
      <c r="C117" s="35">
        <v>116</v>
      </c>
      <c r="D117" s="35">
        <v>88.7</v>
      </c>
      <c r="E117" s="35">
        <v>52.8</v>
      </c>
      <c r="F117" s="35">
        <v>184.5</v>
      </c>
      <c r="G117" s="35">
        <v>131.80000000000001</v>
      </c>
    </row>
    <row r="118" spans="1:7" ht="15" x14ac:dyDescent="0.2">
      <c r="A118" s="34" t="s">
        <v>100</v>
      </c>
      <c r="B118" s="37">
        <v>45946</v>
      </c>
      <c r="C118" s="35">
        <v>117</v>
      </c>
      <c r="D118" s="35">
        <v>89.3</v>
      </c>
      <c r="E118" s="35">
        <v>52.4</v>
      </c>
      <c r="F118" s="35">
        <v>189.9</v>
      </c>
      <c r="G118" s="35">
        <v>137.5</v>
      </c>
    </row>
    <row r="119" spans="1:7" ht="15" x14ac:dyDescent="0.2">
      <c r="A119" s="34" t="s">
        <v>100</v>
      </c>
      <c r="B119" s="37">
        <v>45947</v>
      </c>
      <c r="C119" s="35">
        <v>118</v>
      </c>
      <c r="D119" s="35">
        <v>95.5</v>
      </c>
      <c r="E119" s="35">
        <v>57.6</v>
      </c>
      <c r="F119" s="35">
        <v>204.6</v>
      </c>
      <c r="G119" s="35">
        <v>147</v>
      </c>
    </row>
    <row r="120" spans="1:7" ht="15" x14ac:dyDescent="0.2">
      <c r="A120" s="34" t="s">
        <v>100</v>
      </c>
      <c r="B120" s="37">
        <v>45948</v>
      </c>
      <c r="C120" s="35">
        <v>119</v>
      </c>
      <c r="D120" s="35">
        <v>85.5</v>
      </c>
      <c r="E120" s="35">
        <v>46.5</v>
      </c>
      <c r="F120" s="35">
        <v>186</v>
      </c>
      <c r="G120" s="35">
        <v>139.4</v>
      </c>
    </row>
    <row r="121" spans="1:7" ht="15" x14ac:dyDescent="0.2">
      <c r="A121" s="34" t="s">
        <v>100</v>
      </c>
      <c r="B121" s="37">
        <v>45949</v>
      </c>
      <c r="C121" s="35">
        <v>120</v>
      </c>
      <c r="D121" s="35">
        <v>77.099999999999994</v>
      </c>
      <c r="E121" s="35">
        <v>37.1</v>
      </c>
      <c r="F121" s="35">
        <v>191.8</v>
      </c>
      <c r="G121" s="35">
        <v>154.69999999999999</v>
      </c>
    </row>
    <row r="122" spans="1:7" ht="15" x14ac:dyDescent="0.2">
      <c r="A122" s="34" t="s">
        <v>98</v>
      </c>
      <c r="B122" s="37">
        <v>45829</v>
      </c>
      <c r="C122" s="35">
        <v>1</v>
      </c>
      <c r="D122" s="35">
        <v>74.599999999999994</v>
      </c>
      <c r="E122" s="35">
        <v>34.6</v>
      </c>
      <c r="F122" s="35">
        <v>185.7</v>
      </c>
      <c r="G122" s="35">
        <v>151.1</v>
      </c>
    </row>
    <row r="123" spans="1:7" ht="15" x14ac:dyDescent="0.2">
      <c r="A123" s="34" t="s">
        <v>98</v>
      </c>
      <c r="B123" s="37">
        <v>45830</v>
      </c>
      <c r="C123" s="35">
        <v>2</v>
      </c>
      <c r="D123" s="35">
        <v>77.900000000000006</v>
      </c>
      <c r="E123" s="35">
        <v>36.799999999999997</v>
      </c>
      <c r="F123" s="35">
        <v>180.1</v>
      </c>
      <c r="G123" s="35">
        <v>143.30000000000001</v>
      </c>
    </row>
    <row r="124" spans="1:7" ht="15" x14ac:dyDescent="0.2">
      <c r="A124" s="34" t="s">
        <v>98</v>
      </c>
      <c r="B124" s="37">
        <v>45831</v>
      </c>
      <c r="C124" s="35">
        <v>3</v>
      </c>
      <c r="D124" s="35">
        <v>83.2</v>
      </c>
      <c r="E124" s="35">
        <v>41.1</v>
      </c>
      <c r="F124" s="35">
        <v>190.4</v>
      </c>
      <c r="G124" s="35">
        <v>149.30000000000001</v>
      </c>
    </row>
    <row r="125" spans="1:7" ht="15" x14ac:dyDescent="0.2">
      <c r="A125" s="34" t="s">
        <v>98</v>
      </c>
      <c r="B125" s="37">
        <v>45832</v>
      </c>
      <c r="C125" s="35">
        <v>4</v>
      </c>
      <c r="D125" s="35">
        <v>80.400000000000006</v>
      </c>
      <c r="E125" s="35">
        <v>37.200000000000003</v>
      </c>
      <c r="F125" s="35">
        <v>186</v>
      </c>
      <c r="G125" s="35">
        <v>148.69999999999999</v>
      </c>
    </row>
    <row r="126" spans="1:7" ht="15" x14ac:dyDescent="0.2">
      <c r="A126" s="34" t="s">
        <v>98</v>
      </c>
      <c r="B126" s="37">
        <v>45833</v>
      </c>
      <c r="C126" s="35">
        <v>5</v>
      </c>
      <c r="D126" s="35">
        <v>83.3</v>
      </c>
      <c r="E126" s="35">
        <v>39.200000000000003</v>
      </c>
      <c r="F126" s="35">
        <v>202.5</v>
      </c>
      <c r="G126" s="35">
        <v>163.30000000000001</v>
      </c>
    </row>
    <row r="127" spans="1:7" ht="15" x14ac:dyDescent="0.2">
      <c r="A127" s="34" t="s">
        <v>98</v>
      </c>
      <c r="B127" s="37">
        <v>45834</v>
      </c>
      <c r="C127" s="35">
        <v>6</v>
      </c>
      <c r="D127" s="35">
        <v>88.4</v>
      </c>
      <c r="E127" s="35">
        <v>43.3</v>
      </c>
      <c r="F127" s="35">
        <v>200.3</v>
      </c>
      <c r="G127" s="35">
        <v>156.9</v>
      </c>
    </row>
    <row r="128" spans="1:7" ht="15" x14ac:dyDescent="0.2">
      <c r="A128" s="34" t="s">
        <v>98</v>
      </c>
      <c r="B128" s="37">
        <v>45835</v>
      </c>
      <c r="C128" s="35">
        <v>7</v>
      </c>
      <c r="D128" s="35">
        <v>100.3</v>
      </c>
      <c r="E128" s="35">
        <v>54.3</v>
      </c>
      <c r="F128" s="35">
        <v>225.7</v>
      </c>
      <c r="G128" s="35">
        <v>171.3</v>
      </c>
    </row>
    <row r="129" spans="1:7" ht="15" x14ac:dyDescent="0.2">
      <c r="A129" s="34" t="s">
        <v>98</v>
      </c>
      <c r="B129" s="37">
        <v>45836</v>
      </c>
      <c r="C129" s="35">
        <v>8</v>
      </c>
      <c r="D129" s="35">
        <v>105</v>
      </c>
      <c r="E129" s="35">
        <v>58.3</v>
      </c>
      <c r="F129" s="35">
        <v>225.2</v>
      </c>
      <c r="G129" s="35">
        <v>166.9</v>
      </c>
    </row>
    <row r="130" spans="1:7" ht="15" x14ac:dyDescent="0.2">
      <c r="A130" s="34" t="s">
        <v>98</v>
      </c>
      <c r="B130" s="37">
        <v>45837</v>
      </c>
      <c r="C130" s="35">
        <v>9</v>
      </c>
      <c r="D130" s="35">
        <v>101.9</v>
      </c>
      <c r="E130" s="35">
        <v>54.4</v>
      </c>
      <c r="F130" s="35">
        <v>210.3</v>
      </c>
      <c r="G130" s="35">
        <v>155.80000000000001</v>
      </c>
    </row>
    <row r="131" spans="1:7" ht="15" x14ac:dyDescent="0.2">
      <c r="A131" s="34" t="s">
        <v>98</v>
      </c>
      <c r="B131" s="37">
        <v>45838</v>
      </c>
      <c r="C131" s="35">
        <v>10</v>
      </c>
      <c r="D131" s="35">
        <v>99.5</v>
      </c>
      <c r="E131" s="35">
        <v>51.4</v>
      </c>
      <c r="F131" s="35">
        <v>209.6</v>
      </c>
      <c r="G131" s="35">
        <v>158.30000000000001</v>
      </c>
    </row>
    <row r="132" spans="1:7" ht="15" x14ac:dyDescent="0.2">
      <c r="A132" s="34" t="s">
        <v>98</v>
      </c>
      <c r="B132" s="37">
        <v>45839</v>
      </c>
      <c r="C132" s="35">
        <v>11</v>
      </c>
      <c r="D132" s="35">
        <v>100.3</v>
      </c>
      <c r="E132" s="35">
        <v>51.6</v>
      </c>
      <c r="F132" s="35">
        <v>212.9</v>
      </c>
      <c r="G132" s="35">
        <v>161.30000000000001</v>
      </c>
    </row>
    <row r="133" spans="1:7" ht="15" x14ac:dyDescent="0.2">
      <c r="A133" s="34" t="s">
        <v>98</v>
      </c>
      <c r="B133" s="37">
        <v>45840</v>
      </c>
      <c r="C133" s="35">
        <v>12</v>
      </c>
      <c r="D133" s="35">
        <v>98.4</v>
      </c>
      <c r="E133" s="35">
        <v>49.2</v>
      </c>
      <c r="F133" s="35">
        <v>219.3</v>
      </c>
      <c r="G133" s="35">
        <v>170.1</v>
      </c>
    </row>
    <row r="134" spans="1:7" ht="15" x14ac:dyDescent="0.2">
      <c r="A134" s="34" t="s">
        <v>98</v>
      </c>
      <c r="B134" s="37">
        <v>45841</v>
      </c>
      <c r="C134" s="35">
        <v>13</v>
      </c>
      <c r="D134" s="35">
        <v>99</v>
      </c>
      <c r="E134" s="35">
        <v>49.5</v>
      </c>
      <c r="F134" s="35">
        <v>213.3</v>
      </c>
      <c r="G134" s="35">
        <v>163.80000000000001</v>
      </c>
    </row>
    <row r="135" spans="1:7" ht="15" x14ac:dyDescent="0.2">
      <c r="A135" s="34" t="s">
        <v>98</v>
      </c>
      <c r="B135" s="37">
        <v>45842</v>
      </c>
      <c r="C135" s="35">
        <v>14</v>
      </c>
      <c r="D135" s="35">
        <v>105.3</v>
      </c>
      <c r="E135" s="35">
        <v>55.5</v>
      </c>
      <c r="F135" s="35">
        <v>227.6</v>
      </c>
      <c r="G135" s="35">
        <v>172.1</v>
      </c>
    </row>
    <row r="136" spans="1:7" ht="15" x14ac:dyDescent="0.2">
      <c r="A136" s="34" t="s">
        <v>98</v>
      </c>
      <c r="B136" s="37">
        <v>45843</v>
      </c>
      <c r="C136" s="35">
        <v>15</v>
      </c>
      <c r="D136" s="35">
        <v>112.7</v>
      </c>
      <c r="E136" s="35">
        <v>62.8</v>
      </c>
      <c r="F136" s="35">
        <v>234.1</v>
      </c>
      <c r="G136" s="35">
        <v>171.3</v>
      </c>
    </row>
    <row r="137" spans="1:7" ht="15" x14ac:dyDescent="0.2">
      <c r="A137" s="34" t="s">
        <v>98</v>
      </c>
      <c r="B137" s="37">
        <v>45844</v>
      </c>
      <c r="C137" s="35">
        <v>16</v>
      </c>
      <c r="D137" s="35">
        <v>99.7</v>
      </c>
      <c r="E137" s="35">
        <v>49.7</v>
      </c>
      <c r="F137" s="35">
        <v>223.5</v>
      </c>
      <c r="G137" s="35">
        <v>173.8</v>
      </c>
    </row>
    <row r="138" spans="1:7" ht="15" x14ac:dyDescent="0.2">
      <c r="A138" s="34" t="s">
        <v>98</v>
      </c>
      <c r="B138" s="37">
        <v>45845</v>
      </c>
      <c r="C138" s="35">
        <v>17</v>
      </c>
      <c r="D138" s="35">
        <v>114.8</v>
      </c>
      <c r="E138" s="35">
        <v>64.8</v>
      </c>
      <c r="F138" s="35">
        <v>232.2</v>
      </c>
      <c r="G138" s="35">
        <v>167.4</v>
      </c>
    </row>
    <row r="139" spans="1:7" ht="15" x14ac:dyDescent="0.2">
      <c r="A139" s="34" t="s">
        <v>98</v>
      </c>
      <c r="B139" s="37">
        <v>45846</v>
      </c>
      <c r="C139" s="35">
        <v>18</v>
      </c>
      <c r="D139" s="35">
        <v>114.6</v>
      </c>
      <c r="E139" s="35">
        <v>64.900000000000006</v>
      </c>
      <c r="F139" s="35">
        <v>234.7</v>
      </c>
      <c r="G139" s="35">
        <v>169.8</v>
      </c>
    </row>
    <row r="140" spans="1:7" ht="15" x14ac:dyDescent="0.2">
      <c r="A140" s="34" t="s">
        <v>98</v>
      </c>
      <c r="B140" s="37">
        <v>45847</v>
      </c>
      <c r="C140" s="35">
        <v>19</v>
      </c>
      <c r="D140" s="35">
        <v>111.7</v>
      </c>
      <c r="E140" s="35">
        <v>62.2</v>
      </c>
      <c r="F140" s="35">
        <v>233.8</v>
      </c>
      <c r="G140" s="35">
        <v>171.6</v>
      </c>
    </row>
    <row r="141" spans="1:7" ht="15" x14ac:dyDescent="0.2">
      <c r="A141" s="34" t="s">
        <v>98</v>
      </c>
      <c r="B141" s="37">
        <v>45848</v>
      </c>
      <c r="C141" s="35">
        <v>20</v>
      </c>
      <c r="D141" s="35">
        <v>108</v>
      </c>
      <c r="E141" s="35">
        <v>58.9</v>
      </c>
      <c r="F141" s="35">
        <v>231.3</v>
      </c>
      <c r="G141" s="35">
        <v>172.4</v>
      </c>
    </row>
    <row r="142" spans="1:7" ht="15" x14ac:dyDescent="0.2">
      <c r="A142" s="34" t="s">
        <v>98</v>
      </c>
      <c r="B142" s="37">
        <v>45849</v>
      </c>
      <c r="C142" s="35">
        <v>21</v>
      </c>
      <c r="D142" s="35">
        <v>112.9</v>
      </c>
      <c r="E142" s="35">
        <v>64.400000000000006</v>
      </c>
      <c r="F142" s="35">
        <v>235.2</v>
      </c>
      <c r="G142" s="35">
        <v>170.9</v>
      </c>
    </row>
    <row r="143" spans="1:7" ht="15" x14ac:dyDescent="0.2">
      <c r="A143" s="34" t="s">
        <v>98</v>
      </c>
      <c r="B143" s="37">
        <v>45850</v>
      </c>
      <c r="C143" s="35">
        <v>22</v>
      </c>
      <c r="D143" s="35">
        <v>102.7</v>
      </c>
      <c r="E143" s="35">
        <v>54.7</v>
      </c>
      <c r="F143" s="35">
        <v>230.4</v>
      </c>
      <c r="G143" s="35">
        <v>175.7</v>
      </c>
    </row>
    <row r="144" spans="1:7" ht="15" x14ac:dyDescent="0.2">
      <c r="A144" s="34" t="s">
        <v>98</v>
      </c>
      <c r="B144" s="37">
        <v>45851</v>
      </c>
      <c r="C144" s="35">
        <v>23</v>
      </c>
      <c r="D144" s="35">
        <v>107.9</v>
      </c>
      <c r="E144" s="35">
        <v>60.6</v>
      </c>
      <c r="F144" s="35">
        <v>233</v>
      </c>
      <c r="G144" s="35">
        <v>172.3</v>
      </c>
    </row>
    <row r="145" spans="1:7" ht="15" x14ac:dyDescent="0.2">
      <c r="A145" s="34" t="s">
        <v>98</v>
      </c>
      <c r="B145" s="37">
        <v>45852</v>
      </c>
      <c r="C145" s="35">
        <v>24</v>
      </c>
      <c r="D145" s="35">
        <v>115.3</v>
      </c>
      <c r="E145" s="35">
        <v>68.8</v>
      </c>
      <c r="F145" s="35">
        <v>242.6</v>
      </c>
      <c r="G145" s="35">
        <v>173.8</v>
      </c>
    </row>
    <row r="146" spans="1:7" ht="15" x14ac:dyDescent="0.2">
      <c r="A146" s="34" t="s">
        <v>98</v>
      </c>
      <c r="B146" s="37">
        <v>45853</v>
      </c>
      <c r="C146" s="35">
        <v>25</v>
      </c>
      <c r="D146" s="35">
        <v>104.7</v>
      </c>
      <c r="E146" s="35">
        <v>59</v>
      </c>
      <c r="F146" s="35">
        <v>238.9</v>
      </c>
      <c r="G146" s="35">
        <v>179.9</v>
      </c>
    </row>
    <row r="147" spans="1:7" ht="15" x14ac:dyDescent="0.2">
      <c r="A147" s="34" t="s">
        <v>98</v>
      </c>
      <c r="B147" s="37">
        <v>45854</v>
      </c>
      <c r="C147" s="35">
        <v>26</v>
      </c>
      <c r="D147" s="35">
        <v>114.7</v>
      </c>
      <c r="E147" s="35">
        <v>69.900000000000006</v>
      </c>
      <c r="F147" s="35">
        <v>242.9</v>
      </c>
      <c r="G147" s="35">
        <v>173.1</v>
      </c>
    </row>
    <row r="148" spans="1:7" ht="15" x14ac:dyDescent="0.2">
      <c r="A148" s="34" t="s">
        <v>98</v>
      </c>
      <c r="B148" s="37">
        <v>45855</v>
      </c>
      <c r="C148" s="35">
        <v>27</v>
      </c>
      <c r="D148" s="35">
        <v>111.2</v>
      </c>
      <c r="E148" s="35">
        <v>67.400000000000006</v>
      </c>
      <c r="F148" s="35">
        <v>235</v>
      </c>
      <c r="G148" s="35">
        <v>167.6</v>
      </c>
    </row>
    <row r="149" spans="1:7" ht="15" x14ac:dyDescent="0.2">
      <c r="A149" s="34" t="s">
        <v>98</v>
      </c>
      <c r="B149" s="37">
        <v>45856</v>
      </c>
      <c r="C149" s="35">
        <v>28</v>
      </c>
      <c r="D149" s="35">
        <v>104</v>
      </c>
      <c r="E149" s="35">
        <v>61.1</v>
      </c>
      <c r="F149" s="35">
        <v>226.1</v>
      </c>
      <c r="G149" s="35">
        <v>164.9</v>
      </c>
    </row>
    <row r="150" spans="1:7" ht="15" x14ac:dyDescent="0.2">
      <c r="A150" s="34" t="s">
        <v>98</v>
      </c>
      <c r="B150" s="37">
        <v>45857</v>
      </c>
      <c r="C150" s="35">
        <v>29</v>
      </c>
      <c r="D150" s="35">
        <v>103.1</v>
      </c>
      <c r="E150" s="35">
        <v>61.3</v>
      </c>
      <c r="F150" s="35">
        <v>235.2</v>
      </c>
      <c r="G150" s="35">
        <v>173.9</v>
      </c>
    </row>
    <row r="151" spans="1:7" ht="15" x14ac:dyDescent="0.2">
      <c r="A151" s="34" t="s">
        <v>98</v>
      </c>
      <c r="B151" s="37">
        <v>45858</v>
      </c>
      <c r="C151" s="35">
        <v>30</v>
      </c>
      <c r="D151" s="35">
        <v>97.6</v>
      </c>
      <c r="E151" s="35">
        <v>56.8</v>
      </c>
      <c r="F151" s="35">
        <v>218</v>
      </c>
      <c r="G151" s="35">
        <v>161.19999999999999</v>
      </c>
    </row>
    <row r="152" spans="1:7" ht="15" x14ac:dyDescent="0.2">
      <c r="A152" s="34" t="s">
        <v>98</v>
      </c>
      <c r="B152" s="37">
        <v>45859</v>
      </c>
      <c r="C152" s="35">
        <v>31</v>
      </c>
      <c r="D152" s="35">
        <v>99.1</v>
      </c>
      <c r="E152" s="35">
        <v>59.3</v>
      </c>
      <c r="F152" s="35">
        <v>226.5</v>
      </c>
      <c r="G152" s="35">
        <v>167.1</v>
      </c>
    </row>
    <row r="153" spans="1:7" ht="15" x14ac:dyDescent="0.2">
      <c r="A153" s="34" t="s">
        <v>98</v>
      </c>
      <c r="B153" s="37">
        <v>45860</v>
      </c>
      <c r="C153" s="35">
        <v>32</v>
      </c>
      <c r="D153" s="35">
        <v>99.3</v>
      </c>
      <c r="E153" s="35">
        <v>60.6</v>
      </c>
      <c r="F153" s="35">
        <v>227</v>
      </c>
      <c r="G153" s="35">
        <v>166.4</v>
      </c>
    </row>
    <row r="154" spans="1:7" ht="15" x14ac:dyDescent="0.2">
      <c r="A154" s="34" t="s">
        <v>98</v>
      </c>
      <c r="B154" s="37">
        <v>45861</v>
      </c>
      <c r="C154" s="35">
        <v>33</v>
      </c>
      <c r="D154" s="35">
        <v>94.6</v>
      </c>
      <c r="E154" s="35">
        <v>57</v>
      </c>
      <c r="F154" s="35">
        <v>216.6</v>
      </c>
      <c r="G154" s="35">
        <v>159.6</v>
      </c>
    </row>
    <row r="155" spans="1:7" ht="15" x14ac:dyDescent="0.2">
      <c r="A155" s="34" t="s">
        <v>98</v>
      </c>
      <c r="B155" s="37">
        <v>45862</v>
      </c>
      <c r="C155" s="35">
        <v>34</v>
      </c>
      <c r="D155" s="35">
        <v>84.1</v>
      </c>
      <c r="E155" s="35">
        <v>47.4</v>
      </c>
      <c r="F155" s="35">
        <v>209.4</v>
      </c>
      <c r="G155" s="35">
        <v>162</v>
      </c>
    </row>
    <row r="156" spans="1:7" ht="15" x14ac:dyDescent="0.2">
      <c r="A156" s="34" t="s">
        <v>98</v>
      </c>
      <c r="B156" s="37">
        <v>45863</v>
      </c>
      <c r="C156" s="35">
        <v>35</v>
      </c>
      <c r="D156" s="35">
        <v>94.6</v>
      </c>
      <c r="E156" s="35">
        <v>58.9</v>
      </c>
      <c r="F156" s="35">
        <v>222.7</v>
      </c>
      <c r="G156" s="35">
        <v>163.80000000000001</v>
      </c>
    </row>
    <row r="157" spans="1:7" ht="15" x14ac:dyDescent="0.2">
      <c r="A157" s="34" t="s">
        <v>98</v>
      </c>
      <c r="B157" s="37">
        <v>45864</v>
      </c>
      <c r="C157" s="35">
        <v>36</v>
      </c>
      <c r="D157" s="35">
        <v>82.9</v>
      </c>
      <c r="E157" s="35">
        <v>48.2</v>
      </c>
      <c r="F157" s="35">
        <v>208.3</v>
      </c>
      <c r="G157" s="35">
        <v>160.19999999999999</v>
      </c>
    </row>
    <row r="158" spans="1:7" ht="15" x14ac:dyDescent="0.2">
      <c r="A158" s="34" t="s">
        <v>98</v>
      </c>
      <c r="B158" s="37">
        <v>45865</v>
      </c>
      <c r="C158" s="35">
        <v>37</v>
      </c>
      <c r="D158" s="35">
        <v>92.2</v>
      </c>
      <c r="E158" s="35">
        <v>58.4</v>
      </c>
      <c r="F158" s="35">
        <v>216.3</v>
      </c>
      <c r="G158" s="35">
        <v>158</v>
      </c>
    </row>
    <row r="159" spans="1:7" ht="15" x14ac:dyDescent="0.2">
      <c r="A159" s="34" t="s">
        <v>98</v>
      </c>
      <c r="B159" s="37">
        <v>45866</v>
      </c>
      <c r="C159" s="35">
        <v>38</v>
      </c>
      <c r="D159" s="35">
        <v>85.7</v>
      </c>
      <c r="E159" s="35">
        <v>52.7</v>
      </c>
      <c r="F159" s="35">
        <v>207.7</v>
      </c>
      <c r="G159" s="35">
        <v>155</v>
      </c>
    </row>
    <row r="160" spans="1:7" ht="15" x14ac:dyDescent="0.2">
      <c r="A160" s="34" t="s">
        <v>98</v>
      </c>
      <c r="B160" s="37">
        <v>45867</v>
      </c>
      <c r="C160" s="35">
        <v>39</v>
      </c>
      <c r="D160" s="35">
        <v>80.7</v>
      </c>
      <c r="E160" s="35">
        <v>48.3</v>
      </c>
      <c r="F160" s="35">
        <v>202.9</v>
      </c>
      <c r="G160" s="35">
        <v>154.6</v>
      </c>
    </row>
    <row r="161" spans="1:7" ht="15" x14ac:dyDescent="0.2">
      <c r="A161" s="34" t="s">
        <v>98</v>
      </c>
      <c r="B161" s="37">
        <v>45868</v>
      </c>
      <c r="C161" s="35">
        <v>40</v>
      </c>
      <c r="D161" s="35">
        <v>73.099999999999994</v>
      </c>
      <c r="E161" s="35">
        <v>41.4</v>
      </c>
      <c r="F161" s="35">
        <v>195</v>
      </c>
      <c r="G161" s="35">
        <v>153.6</v>
      </c>
    </row>
    <row r="162" spans="1:7" ht="15" x14ac:dyDescent="0.2">
      <c r="A162" s="34" t="s">
        <v>98</v>
      </c>
      <c r="B162" s="37">
        <v>45869</v>
      </c>
      <c r="C162" s="35">
        <v>41</v>
      </c>
      <c r="D162" s="35">
        <v>77.400000000000006</v>
      </c>
      <c r="E162" s="35">
        <v>46.2</v>
      </c>
      <c r="F162" s="35">
        <v>202.1</v>
      </c>
      <c r="G162" s="35">
        <v>155.9</v>
      </c>
    </row>
    <row r="163" spans="1:7" ht="15" x14ac:dyDescent="0.2">
      <c r="A163" s="34" t="s">
        <v>98</v>
      </c>
      <c r="B163" s="37">
        <v>45870</v>
      </c>
      <c r="C163" s="35">
        <v>42</v>
      </c>
      <c r="D163" s="35">
        <v>68.900000000000006</v>
      </c>
      <c r="E163" s="35">
        <v>38.200000000000003</v>
      </c>
      <c r="F163" s="35">
        <v>214.4</v>
      </c>
      <c r="G163" s="35">
        <v>176.2</v>
      </c>
    </row>
    <row r="164" spans="1:7" ht="15" x14ac:dyDescent="0.2">
      <c r="A164" s="34" t="s">
        <v>98</v>
      </c>
      <c r="B164" s="37">
        <v>45871</v>
      </c>
      <c r="C164" s="35">
        <v>43</v>
      </c>
      <c r="D164" s="35">
        <v>81.900000000000006</v>
      </c>
      <c r="E164" s="35">
        <v>51.5</v>
      </c>
      <c r="F164" s="35">
        <v>205.2</v>
      </c>
      <c r="G164" s="35">
        <v>153.69999999999999</v>
      </c>
    </row>
    <row r="165" spans="1:7" ht="15" x14ac:dyDescent="0.2">
      <c r="A165" s="34" t="s">
        <v>98</v>
      </c>
      <c r="B165" s="37">
        <v>45872</v>
      </c>
      <c r="C165" s="35">
        <v>44</v>
      </c>
      <c r="D165" s="35">
        <v>74.5</v>
      </c>
      <c r="E165" s="35">
        <v>44.4</v>
      </c>
      <c r="F165" s="35">
        <v>195.6</v>
      </c>
      <c r="G165" s="35">
        <v>151.19999999999999</v>
      </c>
    </row>
    <row r="166" spans="1:7" ht="15" x14ac:dyDescent="0.2">
      <c r="A166" s="34" t="s">
        <v>98</v>
      </c>
      <c r="B166" s="37">
        <v>45873</v>
      </c>
      <c r="C166" s="35">
        <v>45</v>
      </c>
      <c r="D166" s="35">
        <v>74.5</v>
      </c>
      <c r="E166" s="35">
        <v>44.5</v>
      </c>
      <c r="F166" s="35">
        <v>197.5</v>
      </c>
      <c r="G166" s="35">
        <v>153.1</v>
      </c>
    </row>
    <row r="167" spans="1:7" ht="15" x14ac:dyDescent="0.2">
      <c r="A167" s="34" t="s">
        <v>98</v>
      </c>
      <c r="B167" s="37">
        <v>45874</v>
      </c>
      <c r="C167" s="35">
        <v>46</v>
      </c>
      <c r="D167" s="35">
        <v>72.5</v>
      </c>
      <c r="E167" s="35">
        <v>42.5</v>
      </c>
      <c r="F167" s="35">
        <v>198.3</v>
      </c>
      <c r="G167" s="35">
        <v>155.80000000000001</v>
      </c>
    </row>
    <row r="168" spans="1:7" ht="15" x14ac:dyDescent="0.2">
      <c r="A168" s="34" t="s">
        <v>98</v>
      </c>
      <c r="B168" s="37">
        <v>45875</v>
      </c>
      <c r="C168" s="35">
        <v>47</v>
      </c>
      <c r="D168" s="35">
        <v>66</v>
      </c>
      <c r="E168" s="35">
        <v>35.9</v>
      </c>
      <c r="F168" s="35">
        <v>187.4</v>
      </c>
      <c r="G168" s="35">
        <v>151.5</v>
      </c>
    </row>
    <row r="169" spans="1:7" ht="15" x14ac:dyDescent="0.2">
      <c r="A169" s="34" t="s">
        <v>98</v>
      </c>
      <c r="B169" s="37">
        <v>45876</v>
      </c>
      <c r="C169" s="35">
        <v>48</v>
      </c>
      <c r="D169" s="35">
        <v>72.099999999999994</v>
      </c>
      <c r="E169" s="35">
        <v>41.8</v>
      </c>
      <c r="F169" s="35">
        <v>186.9</v>
      </c>
      <c r="G169" s="35">
        <v>145.1</v>
      </c>
    </row>
    <row r="170" spans="1:7" ht="15" x14ac:dyDescent="0.2">
      <c r="A170" s="34" t="s">
        <v>98</v>
      </c>
      <c r="B170" s="37">
        <v>45877</v>
      </c>
      <c r="C170" s="35">
        <v>49</v>
      </c>
      <c r="D170" s="35">
        <v>65.900000000000006</v>
      </c>
      <c r="E170" s="35">
        <v>35.200000000000003</v>
      </c>
      <c r="F170" s="35">
        <v>179</v>
      </c>
      <c r="G170" s="35">
        <v>143.69999999999999</v>
      </c>
    </row>
    <row r="171" spans="1:7" ht="15" x14ac:dyDescent="0.2">
      <c r="A171" s="34" t="s">
        <v>98</v>
      </c>
      <c r="B171" s="37">
        <v>45878</v>
      </c>
      <c r="C171" s="35">
        <v>50</v>
      </c>
      <c r="D171" s="35">
        <v>56</v>
      </c>
      <c r="E171" s="35">
        <v>25</v>
      </c>
      <c r="F171" s="35">
        <v>172.3</v>
      </c>
      <c r="G171" s="35">
        <v>147.30000000000001</v>
      </c>
    </row>
    <row r="172" spans="1:7" ht="15" x14ac:dyDescent="0.2">
      <c r="A172" s="34" t="s">
        <v>98</v>
      </c>
      <c r="B172" s="37">
        <v>45879</v>
      </c>
      <c r="C172" s="35">
        <v>51</v>
      </c>
      <c r="D172" s="35">
        <v>46.7</v>
      </c>
      <c r="E172" s="35">
        <v>15.1</v>
      </c>
      <c r="F172" s="35">
        <v>161.1</v>
      </c>
      <c r="G172" s="35">
        <v>146.1</v>
      </c>
    </row>
    <row r="173" spans="1:7" ht="15" x14ac:dyDescent="0.2">
      <c r="A173" s="34" t="s">
        <v>98</v>
      </c>
      <c r="B173" s="37">
        <v>45880</v>
      </c>
      <c r="C173" s="35">
        <v>52</v>
      </c>
      <c r="D173" s="35">
        <v>57.1</v>
      </c>
      <c r="E173" s="35">
        <v>24.9</v>
      </c>
      <c r="F173" s="35">
        <v>183.5</v>
      </c>
      <c r="G173" s="35">
        <v>158.6</v>
      </c>
    </row>
    <row r="174" spans="1:7" ht="15" x14ac:dyDescent="0.2">
      <c r="A174" s="34" t="s">
        <v>98</v>
      </c>
      <c r="B174" s="37">
        <v>45881</v>
      </c>
      <c r="C174" s="35">
        <v>53</v>
      </c>
      <c r="D174" s="35">
        <v>52.9</v>
      </c>
      <c r="E174" s="35">
        <v>20</v>
      </c>
      <c r="F174" s="35">
        <v>169.3</v>
      </c>
      <c r="G174" s="35">
        <v>149.30000000000001</v>
      </c>
    </row>
    <row r="175" spans="1:7" ht="15" x14ac:dyDescent="0.2">
      <c r="A175" s="34" t="s">
        <v>98</v>
      </c>
      <c r="B175" s="37">
        <v>45882</v>
      </c>
      <c r="C175" s="35">
        <v>54</v>
      </c>
      <c r="D175" s="35">
        <v>51.8</v>
      </c>
      <c r="E175" s="35">
        <v>18.2</v>
      </c>
      <c r="F175" s="35">
        <v>160.6</v>
      </c>
      <c r="G175" s="35">
        <v>142.4</v>
      </c>
    </row>
    <row r="176" spans="1:7" ht="15" x14ac:dyDescent="0.2">
      <c r="A176" s="34" t="s">
        <v>98</v>
      </c>
      <c r="B176" s="37">
        <v>45883</v>
      </c>
      <c r="C176" s="35">
        <v>55</v>
      </c>
      <c r="D176" s="35">
        <v>54.4</v>
      </c>
      <c r="E176" s="35">
        <v>19.899999999999999</v>
      </c>
      <c r="F176" s="35">
        <v>169.5</v>
      </c>
      <c r="G176" s="35">
        <v>149.69999999999999</v>
      </c>
    </row>
    <row r="177" spans="1:7" ht="15" x14ac:dyDescent="0.2">
      <c r="A177" s="34" t="s">
        <v>98</v>
      </c>
      <c r="B177" s="37">
        <v>45884</v>
      </c>
      <c r="C177" s="35">
        <v>56</v>
      </c>
      <c r="D177" s="35">
        <v>49.2</v>
      </c>
      <c r="E177" s="35">
        <v>13.8</v>
      </c>
      <c r="F177" s="35">
        <v>158</v>
      </c>
      <c r="G177" s="35">
        <v>144.19999999999999</v>
      </c>
    </row>
    <row r="178" spans="1:7" ht="15" x14ac:dyDescent="0.2">
      <c r="A178" s="34" t="s">
        <v>98</v>
      </c>
      <c r="B178" s="37">
        <v>45885</v>
      </c>
      <c r="C178" s="35">
        <v>57</v>
      </c>
      <c r="D178" s="35">
        <v>55.9</v>
      </c>
      <c r="E178" s="35">
        <v>19.5</v>
      </c>
      <c r="F178" s="35">
        <v>162.30000000000001</v>
      </c>
      <c r="G178" s="35">
        <v>142.80000000000001</v>
      </c>
    </row>
    <row r="179" spans="1:7" ht="15" x14ac:dyDescent="0.2">
      <c r="A179" s="34" t="s">
        <v>98</v>
      </c>
      <c r="B179" s="37">
        <v>45886</v>
      </c>
      <c r="C179" s="35">
        <v>58</v>
      </c>
      <c r="D179" s="35">
        <v>51.3</v>
      </c>
      <c r="E179" s="35">
        <v>14</v>
      </c>
      <c r="F179" s="35">
        <v>156.69999999999999</v>
      </c>
      <c r="G179" s="35">
        <v>142.69999999999999</v>
      </c>
    </row>
    <row r="180" spans="1:7" ht="15" x14ac:dyDescent="0.2">
      <c r="A180" s="34" t="s">
        <v>98</v>
      </c>
      <c r="B180" s="37">
        <v>45887</v>
      </c>
      <c r="C180" s="35">
        <v>59</v>
      </c>
      <c r="D180" s="35">
        <v>50.6</v>
      </c>
      <c r="E180" s="35">
        <v>12.2</v>
      </c>
      <c r="F180" s="35">
        <v>152.9</v>
      </c>
      <c r="G180" s="35">
        <v>140.69999999999999</v>
      </c>
    </row>
    <row r="181" spans="1:7" ht="15" x14ac:dyDescent="0.2">
      <c r="A181" s="34" t="s">
        <v>98</v>
      </c>
      <c r="B181" s="37">
        <v>45888</v>
      </c>
      <c r="C181" s="35">
        <v>60</v>
      </c>
      <c r="D181" s="35">
        <v>49.7</v>
      </c>
      <c r="E181" s="35">
        <v>10.3</v>
      </c>
      <c r="F181" s="35">
        <v>152.69999999999999</v>
      </c>
      <c r="G181" s="35">
        <v>142.4</v>
      </c>
    </row>
    <row r="182" spans="1:7" ht="15" x14ac:dyDescent="0.2">
      <c r="A182" s="34" t="s">
        <v>98</v>
      </c>
      <c r="B182" s="37">
        <v>45889</v>
      </c>
      <c r="C182" s="35">
        <v>61</v>
      </c>
      <c r="D182" s="35">
        <v>49.7</v>
      </c>
      <c r="E182" s="35">
        <v>9.1</v>
      </c>
      <c r="F182" s="35">
        <v>151.30000000000001</v>
      </c>
      <c r="G182" s="35">
        <v>142.19999999999999</v>
      </c>
    </row>
    <row r="183" spans="1:7" ht="15" x14ac:dyDescent="0.2">
      <c r="A183" s="34" t="s">
        <v>98</v>
      </c>
      <c r="B183" s="37">
        <v>45890</v>
      </c>
      <c r="C183" s="35">
        <v>62</v>
      </c>
      <c r="D183" s="35">
        <v>47.4</v>
      </c>
      <c r="E183" s="35">
        <v>5.8</v>
      </c>
      <c r="F183" s="35">
        <v>155.6</v>
      </c>
      <c r="G183" s="35">
        <v>149.80000000000001</v>
      </c>
    </row>
    <row r="184" spans="1:7" ht="15" x14ac:dyDescent="0.2">
      <c r="A184" s="34" t="s">
        <v>98</v>
      </c>
      <c r="B184" s="37">
        <v>45891</v>
      </c>
      <c r="C184" s="35">
        <v>63</v>
      </c>
      <c r="D184" s="35">
        <v>52.1</v>
      </c>
      <c r="E184" s="35">
        <v>9.5</v>
      </c>
      <c r="F184" s="35">
        <v>157.9</v>
      </c>
      <c r="G184" s="35">
        <v>148.4</v>
      </c>
    </row>
    <row r="185" spans="1:7" ht="15" x14ac:dyDescent="0.2">
      <c r="A185" s="34" t="s">
        <v>98</v>
      </c>
      <c r="B185" s="37">
        <v>45892</v>
      </c>
      <c r="C185" s="35">
        <v>64</v>
      </c>
      <c r="D185" s="35">
        <v>54.8</v>
      </c>
      <c r="E185" s="35">
        <v>11.2</v>
      </c>
      <c r="F185" s="35">
        <v>156.9</v>
      </c>
      <c r="G185" s="35">
        <v>145.69999999999999</v>
      </c>
    </row>
    <row r="186" spans="1:7" ht="15" x14ac:dyDescent="0.2">
      <c r="A186" s="34" t="s">
        <v>98</v>
      </c>
      <c r="B186" s="37">
        <v>45893</v>
      </c>
      <c r="C186" s="35">
        <v>65</v>
      </c>
      <c r="D186" s="35">
        <v>54.5</v>
      </c>
      <c r="E186" s="35">
        <v>9.9</v>
      </c>
      <c r="F186" s="35">
        <v>166.4</v>
      </c>
      <c r="G186" s="35">
        <v>156.5</v>
      </c>
    </row>
    <row r="187" spans="1:7" ht="15" x14ac:dyDescent="0.2">
      <c r="A187" s="34" t="s">
        <v>98</v>
      </c>
      <c r="B187" s="37">
        <v>45894</v>
      </c>
      <c r="C187" s="35">
        <v>66</v>
      </c>
      <c r="D187" s="35">
        <v>57.9</v>
      </c>
      <c r="E187" s="35">
        <v>12.4</v>
      </c>
      <c r="F187" s="35">
        <v>152.30000000000001</v>
      </c>
      <c r="G187" s="35">
        <v>139.9</v>
      </c>
    </row>
    <row r="188" spans="1:7" ht="15" x14ac:dyDescent="0.2">
      <c r="A188" s="34" t="s">
        <v>98</v>
      </c>
      <c r="B188" s="37">
        <v>45895</v>
      </c>
      <c r="C188" s="35">
        <v>67</v>
      </c>
      <c r="D188" s="35">
        <v>56.5</v>
      </c>
      <c r="E188" s="35">
        <v>10.199999999999999</v>
      </c>
      <c r="F188" s="35">
        <v>154</v>
      </c>
      <c r="G188" s="35">
        <v>143.80000000000001</v>
      </c>
    </row>
    <row r="189" spans="1:7" ht="15" x14ac:dyDescent="0.2">
      <c r="A189" s="34" t="s">
        <v>98</v>
      </c>
      <c r="B189" s="37">
        <v>45896</v>
      </c>
      <c r="C189" s="35">
        <v>68</v>
      </c>
      <c r="D189" s="35">
        <v>50.8</v>
      </c>
      <c r="E189" s="35">
        <v>3.7</v>
      </c>
      <c r="F189" s="35">
        <v>158</v>
      </c>
      <c r="G189" s="35">
        <v>154.4</v>
      </c>
    </row>
    <row r="190" spans="1:7" ht="15" x14ac:dyDescent="0.2">
      <c r="A190" s="34" t="s">
        <v>98</v>
      </c>
      <c r="B190" s="37">
        <v>45897</v>
      </c>
      <c r="C190" s="35">
        <v>69</v>
      </c>
      <c r="D190" s="35">
        <v>64</v>
      </c>
      <c r="E190" s="35">
        <v>16.2</v>
      </c>
      <c r="F190" s="35">
        <v>160.30000000000001</v>
      </c>
      <c r="G190" s="35">
        <v>144</v>
      </c>
    </row>
    <row r="191" spans="1:7" ht="15" x14ac:dyDescent="0.2">
      <c r="A191" s="34" t="s">
        <v>98</v>
      </c>
      <c r="B191" s="37">
        <v>45898</v>
      </c>
      <c r="C191" s="35">
        <v>70</v>
      </c>
      <c r="D191" s="35">
        <v>63.9</v>
      </c>
      <c r="E191" s="35">
        <v>15.5</v>
      </c>
      <c r="F191" s="35">
        <v>159.30000000000001</v>
      </c>
      <c r="G191" s="35">
        <v>143.80000000000001</v>
      </c>
    </row>
    <row r="192" spans="1:7" ht="15" x14ac:dyDescent="0.2">
      <c r="A192" s="34" t="s">
        <v>98</v>
      </c>
      <c r="B192" s="37">
        <v>45899</v>
      </c>
      <c r="C192" s="35">
        <v>71</v>
      </c>
      <c r="D192" s="35">
        <v>62.2</v>
      </c>
      <c r="E192" s="35">
        <v>13.3</v>
      </c>
      <c r="F192" s="35">
        <v>156</v>
      </c>
      <c r="G192" s="35">
        <v>142.69999999999999</v>
      </c>
    </row>
    <row r="193" spans="1:7" ht="15" x14ac:dyDescent="0.2">
      <c r="A193" s="34" t="s">
        <v>98</v>
      </c>
      <c r="B193" s="37">
        <v>45900</v>
      </c>
      <c r="C193" s="35">
        <v>72</v>
      </c>
      <c r="D193" s="35">
        <v>57.9</v>
      </c>
      <c r="E193" s="35">
        <v>8.6</v>
      </c>
      <c r="F193" s="35">
        <v>150</v>
      </c>
      <c r="G193" s="35">
        <v>141.4</v>
      </c>
    </row>
    <row r="194" spans="1:7" ht="15" x14ac:dyDescent="0.2">
      <c r="A194" s="34" t="s">
        <v>98</v>
      </c>
      <c r="B194" s="37">
        <v>45901</v>
      </c>
      <c r="C194" s="35">
        <v>73</v>
      </c>
      <c r="D194" s="35">
        <v>66.900000000000006</v>
      </c>
      <c r="E194" s="35">
        <v>17.3</v>
      </c>
      <c r="F194" s="35">
        <v>154.69999999999999</v>
      </c>
      <c r="G194" s="35">
        <v>137.5</v>
      </c>
    </row>
    <row r="195" spans="1:7" ht="15" x14ac:dyDescent="0.2">
      <c r="A195" s="34" t="s">
        <v>98</v>
      </c>
      <c r="B195" s="37">
        <v>45902</v>
      </c>
      <c r="C195" s="35">
        <v>74</v>
      </c>
      <c r="D195" s="35">
        <v>68.099999999999994</v>
      </c>
      <c r="E195" s="35">
        <v>18.2</v>
      </c>
      <c r="F195" s="35">
        <v>174.6</v>
      </c>
      <c r="G195" s="35">
        <v>156.4</v>
      </c>
    </row>
    <row r="196" spans="1:7" ht="15" x14ac:dyDescent="0.2">
      <c r="A196" s="34" t="s">
        <v>98</v>
      </c>
      <c r="B196" s="37">
        <v>45903</v>
      </c>
      <c r="C196" s="35">
        <v>75</v>
      </c>
      <c r="D196" s="35">
        <v>63.5</v>
      </c>
      <c r="E196" s="35">
        <v>13.5</v>
      </c>
      <c r="F196" s="35">
        <v>165.1</v>
      </c>
      <c r="G196" s="35">
        <v>151.6</v>
      </c>
    </row>
    <row r="197" spans="1:7" ht="15" x14ac:dyDescent="0.2">
      <c r="A197" s="34" t="s">
        <v>98</v>
      </c>
      <c r="B197" s="37">
        <v>45904</v>
      </c>
      <c r="C197" s="35">
        <v>76</v>
      </c>
      <c r="D197" s="35">
        <v>73.099999999999994</v>
      </c>
      <c r="E197" s="35">
        <v>23.2</v>
      </c>
      <c r="F197" s="35">
        <v>160.69999999999999</v>
      </c>
      <c r="G197" s="35">
        <v>137.5</v>
      </c>
    </row>
    <row r="198" spans="1:7" ht="15" x14ac:dyDescent="0.2">
      <c r="A198" s="34" t="s">
        <v>98</v>
      </c>
      <c r="B198" s="37">
        <v>45905</v>
      </c>
      <c r="C198" s="35">
        <v>77</v>
      </c>
      <c r="D198" s="35">
        <v>72.2</v>
      </c>
      <c r="E198" s="35">
        <v>22.4</v>
      </c>
      <c r="F198" s="35">
        <v>159.30000000000001</v>
      </c>
      <c r="G198" s="35">
        <v>136.9</v>
      </c>
    </row>
    <row r="199" spans="1:7" ht="15" x14ac:dyDescent="0.2">
      <c r="A199" s="34" t="s">
        <v>98</v>
      </c>
      <c r="B199" s="37">
        <v>45906</v>
      </c>
      <c r="C199" s="35">
        <v>78</v>
      </c>
      <c r="D199" s="35">
        <v>82.3</v>
      </c>
      <c r="E199" s="35">
        <v>32.700000000000003</v>
      </c>
      <c r="F199" s="35">
        <v>180.1</v>
      </c>
      <c r="G199" s="35">
        <v>147.5</v>
      </c>
    </row>
    <row r="200" spans="1:7" ht="15" x14ac:dyDescent="0.2">
      <c r="A200" s="34" t="s">
        <v>98</v>
      </c>
      <c r="B200" s="37">
        <v>45907</v>
      </c>
      <c r="C200" s="35">
        <v>79</v>
      </c>
      <c r="D200" s="35">
        <v>82</v>
      </c>
      <c r="E200" s="35">
        <v>32.700000000000003</v>
      </c>
      <c r="F200" s="35">
        <v>168.9</v>
      </c>
      <c r="G200" s="35">
        <v>136.19999999999999</v>
      </c>
    </row>
    <row r="201" spans="1:7" ht="15" x14ac:dyDescent="0.2">
      <c r="A201" s="34" t="s">
        <v>98</v>
      </c>
      <c r="B201" s="37">
        <v>45908</v>
      </c>
      <c r="C201" s="35">
        <v>80</v>
      </c>
      <c r="D201" s="35">
        <v>80.900000000000006</v>
      </c>
      <c r="E201" s="35">
        <v>32.1</v>
      </c>
      <c r="F201" s="35">
        <v>172.3</v>
      </c>
      <c r="G201" s="35">
        <v>140.30000000000001</v>
      </c>
    </row>
    <row r="202" spans="1:7" ht="15" x14ac:dyDescent="0.2">
      <c r="A202" s="34" t="s">
        <v>98</v>
      </c>
      <c r="B202" s="37">
        <v>45909</v>
      </c>
      <c r="C202" s="35">
        <v>81</v>
      </c>
      <c r="D202" s="35">
        <v>75.099999999999994</v>
      </c>
      <c r="E202" s="35">
        <v>26.8</v>
      </c>
      <c r="F202" s="35">
        <v>172.3</v>
      </c>
      <c r="G202" s="35">
        <v>145.5</v>
      </c>
    </row>
    <row r="203" spans="1:7" ht="15" x14ac:dyDescent="0.2">
      <c r="A203" s="34" t="s">
        <v>98</v>
      </c>
      <c r="B203" s="37">
        <v>45910</v>
      </c>
      <c r="C203" s="35">
        <v>82</v>
      </c>
      <c r="D203" s="35">
        <v>78.400000000000006</v>
      </c>
      <c r="E203" s="35">
        <v>30.7</v>
      </c>
      <c r="F203" s="35">
        <v>163.69999999999999</v>
      </c>
      <c r="G203" s="35">
        <v>133</v>
      </c>
    </row>
    <row r="204" spans="1:7" ht="15" x14ac:dyDescent="0.2">
      <c r="A204" s="34" t="s">
        <v>98</v>
      </c>
      <c r="B204" s="37">
        <v>45911</v>
      </c>
      <c r="C204" s="35">
        <v>83</v>
      </c>
      <c r="D204" s="35">
        <v>92.8</v>
      </c>
      <c r="E204" s="35">
        <v>45.9</v>
      </c>
      <c r="F204" s="35">
        <v>176</v>
      </c>
      <c r="G204" s="35">
        <v>130.1</v>
      </c>
    </row>
    <row r="205" spans="1:7" ht="15" x14ac:dyDescent="0.2">
      <c r="A205" s="34" t="s">
        <v>98</v>
      </c>
      <c r="B205" s="37">
        <v>45912</v>
      </c>
      <c r="C205" s="35">
        <v>84</v>
      </c>
      <c r="D205" s="35">
        <v>86</v>
      </c>
      <c r="E205" s="35">
        <v>39.9</v>
      </c>
      <c r="F205" s="35">
        <v>184</v>
      </c>
      <c r="G205" s="35">
        <v>144.1</v>
      </c>
    </row>
    <row r="206" spans="1:7" ht="15" x14ac:dyDescent="0.2">
      <c r="A206" s="34" t="s">
        <v>98</v>
      </c>
      <c r="B206" s="37">
        <v>45913</v>
      </c>
      <c r="C206" s="35">
        <v>85</v>
      </c>
      <c r="D206" s="35">
        <v>88.9</v>
      </c>
      <c r="E206" s="35">
        <v>43.6</v>
      </c>
      <c r="F206" s="35">
        <v>174.8</v>
      </c>
      <c r="G206" s="35">
        <v>131.19999999999999</v>
      </c>
    </row>
    <row r="207" spans="1:7" ht="15" x14ac:dyDescent="0.2">
      <c r="A207" s="34" t="s">
        <v>98</v>
      </c>
      <c r="B207" s="37">
        <v>45914</v>
      </c>
      <c r="C207" s="35">
        <v>86</v>
      </c>
      <c r="D207" s="35">
        <v>98.2</v>
      </c>
      <c r="E207" s="35">
        <v>53.9</v>
      </c>
      <c r="F207" s="35">
        <v>197</v>
      </c>
      <c r="G207" s="35">
        <v>143.1</v>
      </c>
    </row>
    <row r="208" spans="1:7" ht="15" x14ac:dyDescent="0.2">
      <c r="A208" s="34" t="s">
        <v>98</v>
      </c>
      <c r="B208" s="37">
        <v>45915</v>
      </c>
      <c r="C208" s="35">
        <v>87</v>
      </c>
      <c r="D208" s="35">
        <v>95.5</v>
      </c>
      <c r="E208" s="35">
        <v>52.1</v>
      </c>
      <c r="F208" s="35">
        <v>181.1</v>
      </c>
      <c r="G208" s="35">
        <v>129</v>
      </c>
    </row>
    <row r="209" spans="1:7" ht="15" x14ac:dyDescent="0.2">
      <c r="A209" s="34" t="s">
        <v>98</v>
      </c>
      <c r="B209" s="37">
        <v>45916</v>
      </c>
      <c r="C209" s="35">
        <v>88</v>
      </c>
      <c r="D209" s="35">
        <v>97.6</v>
      </c>
      <c r="E209" s="35">
        <v>55.2</v>
      </c>
      <c r="F209" s="35">
        <v>188.8</v>
      </c>
      <c r="G209" s="35">
        <v>133.6</v>
      </c>
    </row>
    <row r="210" spans="1:7" ht="15" x14ac:dyDescent="0.2">
      <c r="A210" s="34" t="s">
        <v>98</v>
      </c>
      <c r="B210" s="37">
        <v>45917</v>
      </c>
      <c r="C210" s="35">
        <v>89</v>
      </c>
      <c r="D210" s="35">
        <v>99.3</v>
      </c>
      <c r="E210" s="35">
        <v>58</v>
      </c>
      <c r="F210" s="35">
        <v>182.1</v>
      </c>
      <c r="G210" s="35">
        <v>124.1</v>
      </c>
    </row>
    <row r="211" spans="1:7" ht="15" x14ac:dyDescent="0.2">
      <c r="A211" s="34" t="s">
        <v>98</v>
      </c>
      <c r="B211" s="37">
        <v>45918</v>
      </c>
      <c r="C211" s="35">
        <v>90</v>
      </c>
      <c r="D211" s="35">
        <v>102.9</v>
      </c>
      <c r="E211" s="35">
        <v>62.6</v>
      </c>
      <c r="F211" s="35">
        <v>184.8</v>
      </c>
      <c r="G211" s="35">
        <v>122.2</v>
      </c>
    </row>
    <row r="212" spans="1:7" ht="15" x14ac:dyDescent="0.2">
      <c r="A212" s="34" t="s">
        <v>98</v>
      </c>
      <c r="B212" s="37">
        <v>45919</v>
      </c>
      <c r="C212" s="35">
        <v>91</v>
      </c>
      <c r="D212" s="35">
        <v>96.3</v>
      </c>
      <c r="E212" s="35">
        <v>57.1</v>
      </c>
      <c r="F212" s="35">
        <v>184.8</v>
      </c>
      <c r="G212" s="35">
        <v>127.7</v>
      </c>
    </row>
    <row r="213" spans="1:7" ht="15" x14ac:dyDescent="0.2">
      <c r="A213" s="34" t="s">
        <v>98</v>
      </c>
      <c r="B213" s="37">
        <v>45920</v>
      </c>
      <c r="C213" s="35">
        <v>92</v>
      </c>
      <c r="D213" s="35">
        <v>98.5</v>
      </c>
      <c r="E213" s="35">
        <v>60.3</v>
      </c>
      <c r="F213" s="35">
        <v>181.7</v>
      </c>
      <c r="G213" s="35">
        <v>121.4</v>
      </c>
    </row>
    <row r="214" spans="1:7" ht="15" x14ac:dyDescent="0.2">
      <c r="A214" s="34" t="s">
        <v>98</v>
      </c>
      <c r="B214" s="37">
        <v>45921</v>
      </c>
      <c r="C214" s="35">
        <v>93</v>
      </c>
      <c r="D214" s="35">
        <v>106.9</v>
      </c>
      <c r="E214" s="35">
        <v>69.7</v>
      </c>
      <c r="F214" s="35">
        <v>192.8</v>
      </c>
      <c r="G214" s="35">
        <v>123.1</v>
      </c>
    </row>
    <row r="215" spans="1:7" ht="15" x14ac:dyDescent="0.2">
      <c r="A215" s="34" t="s">
        <v>98</v>
      </c>
      <c r="B215" s="37">
        <v>45922</v>
      </c>
      <c r="C215" s="35">
        <v>94</v>
      </c>
      <c r="D215" s="35">
        <v>102.6</v>
      </c>
      <c r="E215" s="35">
        <v>66.400000000000006</v>
      </c>
      <c r="F215" s="35">
        <v>207.2</v>
      </c>
      <c r="G215" s="35">
        <v>140.80000000000001</v>
      </c>
    </row>
    <row r="216" spans="1:7" ht="15" x14ac:dyDescent="0.2">
      <c r="A216" s="34" t="s">
        <v>98</v>
      </c>
      <c r="B216" s="37">
        <v>45923</v>
      </c>
      <c r="C216" s="35">
        <v>95</v>
      </c>
      <c r="D216" s="35">
        <v>103.2</v>
      </c>
      <c r="E216" s="35">
        <v>68.099999999999994</v>
      </c>
      <c r="F216" s="35">
        <v>203.3</v>
      </c>
      <c r="G216" s="35">
        <v>135.19999999999999</v>
      </c>
    </row>
    <row r="217" spans="1:7" ht="15" x14ac:dyDescent="0.2">
      <c r="A217" s="34" t="s">
        <v>98</v>
      </c>
      <c r="B217" s="37">
        <v>45924</v>
      </c>
      <c r="C217" s="35">
        <v>96</v>
      </c>
      <c r="D217" s="35">
        <v>101.8</v>
      </c>
      <c r="E217" s="35">
        <v>67.5</v>
      </c>
      <c r="F217" s="35">
        <v>186.1</v>
      </c>
      <c r="G217" s="35">
        <v>118.7</v>
      </c>
    </row>
    <row r="218" spans="1:7" ht="15" x14ac:dyDescent="0.2">
      <c r="A218" s="34" t="s">
        <v>98</v>
      </c>
      <c r="B218" s="37">
        <v>45925</v>
      </c>
      <c r="C218" s="35">
        <v>97</v>
      </c>
      <c r="D218" s="35">
        <v>111.3</v>
      </c>
      <c r="E218" s="35">
        <v>77.900000000000006</v>
      </c>
      <c r="F218" s="35">
        <v>194.9</v>
      </c>
      <c r="G218" s="35">
        <v>117</v>
      </c>
    </row>
    <row r="219" spans="1:7" ht="15" x14ac:dyDescent="0.2">
      <c r="A219" s="34" t="s">
        <v>98</v>
      </c>
      <c r="B219" s="37">
        <v>45926</v>
      </c>
      <c r="C219" s="35">
        <v>98</v>
      </c>
      <c r="D219" s="35">
        <v>114.6</v>
      </c>
      <c r="E219" s="35">
        <v>81.900000000000006</v>
      </c>
      <c r="F219" s="35">
        <v>200.5</v>
      </c>
      <c r="G219" s="35">
        <v>118.6</v>
      </c>
    </row>
    <row r="220" spans="1:7" ht="15" x14ac:dyDescent="0.2">
      <c r="A220" s="34" t="s">
        <v>98</v>
      </c>
      <c r="B220" s="37">
        <v>45927</v>
      </c>
      <c r="C220" s="35">
        <v>99</v>
      </c>
      <c r="D220" s="35">
        <v>116.9</v>
      </c>
      <c r="E220" s="35">
        <v>84.9</v>
      </c>
      <c r="F220" s="35">
        <v>203.7</v>
      </c>
      <c r="G220" s="35">
        <v>118.7</v>
      </c>
    </row>
    <row r="221" spans="1:7" ht="15" x14ac:dyDescent="0.2">
      <c r="A221" s="34" t="s">
        <v>98</v>
      </c>
      <c r="B221" s="37">
        <v>45928</v>
      </c>
      <c r="C221" s="35">
        <v>100</v>
      </c>
      <c r="D221" s="35">
        <v>109</v>
      </c>
      <c r="E221" s="35">
        <v>77.599999999999994</v>
      </c>
      <c r="F221" s="35">
        <v>192.6</v>
      </c>
      <c r="G221" s="35">
        <v>115</v>
      </c>
    </row>
    <row r="222" spans="1:7" ht="15" x14ac:dyDescent="0.2">
      <c r="A222" s="34" t="s">
        <v>98</v>
      </c>
      <c r="B222" s="37">
        <v>45929</v>
      </c>
      <c r="C222" s="35">
        <v>101</v>
      </c>
      <c r="D222" s="35">
        <v>110.1</v>
      </c>
      <c r="E222" s="35">
        <v>79.2</v>
      </c>
      <c r="F222" s="35">
        <v>208.9</v>
      </c>
      <c r="G222" s="35">
        <v>129.69999999999999</v>
      </c>
    </row>
    <row r="223" spans="1:7" ht="15" x14ac:dyDescent="0.2">
      <c r="A223" s="34" t="s">
        <v>98</v>
      </c>
      <c r="B223" s="37">
        <v>45930</v>
      </c>
      <c r="C223" s="35">
        <v>102</v>
      </c>
      <c r="D223" s="35">
        <v>100.3</v>
      </c>
      <c r="E223" s="35">
        <v>69.8</v>
      </c>
      <c r="F223" s="35">
        <v>197.8</v>
      </c>
      <c r="G223" s="35">
        <v>128</v>
      </c>
    </row>
    <row r="224" spans="1:7" ht="15" x14ac:dyDescent="0.2">
      <c r="A224" s="34" t="s">
        <v>98</v>
      </c>
      <c r="B224" s="37">
        <v>45931</v>
      </c>
      <c r="C224" s="35">
        <v>103</v>
      </c>
      <c r="D224" s="35">
        <v>108.7</v>
      </c>
      <c r="E224" s="35">
        <v>78.400000000000006</v>
      </c>
      <c r="F224" s="35">
        <v>205.8</v>
      </c>
      <c r="G224" s="35">
        <v>127.3</v>
      </c>
    </row>
    <row r="225" spans="1:7" ht="15" x14ac:dyDescent="0.2">
      <c r="A225" s="34" t="s">
        <v>98</v>
      </c>
      <c r="B225" s="37">
        <v>45932</v>
      </c>
      <c r="C225" s="35">
        <v>104</v>
      </c>
      <c r="D225" s="35">
        <v>108</v>
      </c>
      <c r="E225" s="35">
        <v>77.900000000000006</v>
      </c>
      <c r="F225" s="35">
        <v>201.6</v>
      </c>
      <c r="G225" s="35">
        <v>123.7</v>
      </c>
    </row>
    <row r="226" spans="1:7" ht="15" x14ac:dyDescent="0.2">
      <c r="A226" s="34" t="s">
        <v>98</v>
      </c>
      <c r="B226" s="37">
        <v>45933</v>
      </c>
      <c r="C226" s="35">
        <v>105</v>
      </c>
      <c r="D226" s="35">
        <v>112.3</v>
      </c>
      <c r="E226" s="35">
        <v>82.3</v>
      </c>
      <c r="F226" s="35">
        <v>207.4</v>
      </c>
      <c r="G226" s="35">
        <v>125.1</v>
      </c>
    </row>
    <row r="227" spans="1:7" ht="15" x14ac:dyDescent="0.2">
      <c r="A227" s="34" t="s">
        <v>98</v>
      </c>
      <c r="B227" s="37">
        <v>45934</v>
      </c>
      <c r="C227" s="35">
        <v>106</v>
      </c>
      <c r="D227" s="35">
        <v>100.3</v>
      </c>
      <c r="E227" s="35">
        <v>70.2</v>
      </c>
      <c r="F227" s="35">
        <v>190.5</v>
      </c>
      <c r="G227" s="35">
        <v>120.3</v>
      </c>
    </row>
    <row r="228" spans="1:7" ht="15" x14ac:dyDescent="0.2">
      <c r="A228" s="34" t="s">
        <v>98</v>
      </c>
      <c r="B228" s="37">
        <v>45935</v>
      </c>
      <c r="C228" s="35">
        <v>107</v>
      </c>
      <c r="D228" s="35">
        <v>105.2</v>
      </c>
      <c r="E228" s="35">
        <v>75</v>
      </c>
      <c r="F228" s="35">
        <v>196.5</v>
      </c>
      <c r="G228" s="35">
        <v>121.5</v>
      </c>
    </row>
    <row r="229" spans="1:7" ht="15" x14ac:dyDescent="0.2">
      <c r="A229" s="34" t="s">
        <v>98</v>
      </c>
      <c r="B229" s="37">
        <v>45936</v>
      </c>
      <c r="C229" s="35">
        <v>108</v>
      </c>
      <c r="D229" s="35">
        <v>105.1</v>
      </c>
      <c r="E229" s="35">
        <v>74.7</v>
      </c>
      <c r="F229" s="35">
        <v>199.4</v>
      </c>
      <c r="G229" s="35">
        <v>124.8</v>
      </c>
    </row>
    <row r="230" spans="1:7" ht="15" x14ac:dyDescent="0.2">
      <c r="A230" s="34" t="s">
        <v>98</v>
      </c>
      <c r="B230" s="37">
        <v>45937</v>
      </c>
      <c r="C230" s="35">
        <v>109</v>
      </c>
      <c r="D230" s="35">
        <v>116.1</v>
      </c>
      <c r="E230" s="35">
        <v>85.3</v>
      </c>
      <c r="F230" s="35">
        <v>217.4</v>
      </c>
      <c r="G230" s="35">
        <v>132.1</v>
      </c>
    </row>
    <row r="231" spans="1:7" ht="15" x14ac:dyDescent="0.2">
      <c r="A231" s="34" t="s">
        <v>98</v>
      </c>
      <c r="B231" s="37">
        <v>45938</v>
      </c>
      <c r="C231" s="35">
        <v>110</v>
      </c>
      <c r="D231" s="35">
        <v>110.1</v>
      </c>
      <c r="E231" s="35">
        <v>78.8</v>
      </c>
      <c r="F231" s="35">
        <v>200.1</v>
      </c>
      <c r="G231" s="35">
        <v>121.2</v>
      </c>
    </row>
    <row r="232" spans="1:7" ht="15" x14ac:dyDescent="0.2">
      <c r="A232" s="34" t="s">
        <v>98</v>
      </c>
      <c r="B232" s="37">
        <v>45939</v>
      </c>
      <c r="C232" s="35">
        <v>111</v>
      </c>
      <c r="D232" s="35">
        <v>86.4</v>
      </c>
      <c r="E232" s="35">
        <v>54.6</v>
      </c>
      <c r="F232" s="35">
        <v>184.6</v>
      </c>
      <c r="G232" s="35">
        <v>130.1</v>
      </c>
    </row>
    <row r="233" spans="1:7" ht="15" x14ac:dyDescent="0.2">
      <c r="A233" s="34" t="s">
        <v>98</v>
      </c>
      <c r="B233" s="37">
        <v>45940</v>
      </c>
      <c r="C233" s="35">
        <v>112</v>
      </c>
      <c r="D233" s="35">
        <v>91.3</v>
      </c>
      <c r="E233" s="35">
        <v>58.8</v>
      </c>
      <c r="F233" s="35">
        <v>191.4</v>
      </c>
      <c r="G233" s="35">
        <v>132.6</v>
      </c>
    </row>
    <row r="234" spans="1:7" ht="15" x14ac:dyDescent="0.2">
      <c r="A234" s="34" t="s">
        <v>98</v>
      </c>
      <c r="B234" s="37">
        <v>45941</v>
      </c>
      <c r="C234" s="35">
        <v>113</v>
      </c>
      <c r="D234" s="35">
        <v>94.9</v>
      </c>
      <c r="E234" s="35">
        <v>61.7</v>
      </c>
      <c r="F234" s="35">
        <v>191.8</v>
      </c>
      <c r="G234" s="35">
        <v>130.1</v>
      </c>
    </row>
    <row r="235" spans="1:7" ht="15" x14ac:dyDescent="0.2">
      <c r="A235" s="34" t="s">
        <v>98</v>
      </c>
      <c r="B235" s="37">
        <v>45942</v>
      </c>
      <c r="C235" s="35">
        <v>114</v>
      </c>
      <c r="D235" s="35">
        <v>102.7</v>
      </c>
      <c r="E235" s="35">
        <v>68.599999999999994</v>
      </c>
      <c r="F235" s="35">
        <v>209.4</v>
      </c>
      <c r="G235" s="35">
        <v>140.69999999999999</v>
      </c>
    </row>
    <row r="236" spans="1:7" ht="15" x14ac:dyDescent="0.2">
      <c r="A236" s="34" t="s">
        <v>98</v>
      </c>
      <c r="B236" s="37">
        <v>45943</v>
      </c>
      <c r="C236" s="35">
        <v>115</v>
      </c>
      <c r="D236" s="35">
        <v>94.6</v>
      </c>
      <c r="E236" s="35">
        <v>59.7</v>
      </c>
      <c r="F236" s="35">
        <v>195.1</v>
      </c>
      <c r="G236" s="35">
        <v>135.5</v>
      </c>
    </row>
    <row r="237" spans="1:7" ht="15" x14ac:dyDescent="0.2">
      <c r="A237" s="34" t="s">
        <v>98</v>
      </c>
      <c r="B237" s="37">
        <v>45944</v>
      </c>
      <c r="C237" s="35">
        <v>116</v>
      </c>
      <c r="D237" s="35">
        <v>89.5</v>
      </c>
      <c r="E237" s="35">
        <v>53.6</v>
      </c>
      <c r="F237" s="35">
        <v>194</v>
      </c>
      <c r="G237" s="35">
        <v>140.4</v>
      </c>
    </row>
    <row r="238" spans="1:7" ht="15" x14ac:dyDescent="0.2">
      <c r="A238" s="34" t="s">
        <v>98</v>
      </c>
      <c r="B238" s="37">
        <v>45945</v>
      </c>
      <c r="C238" s="35">
        <v>117</v>
      </c>
      <c r="D238" s="35">
        <v>79.7</v>
      </c>
      <c r="E238" s="35">
        <v>42.8</v>
      </c>
      <c r="F238" s="35">
        <v>185.1</v>
      </c>
      <c r="G238" s="35">
        <v>142.30000000000001</v>
      </c>
    </row>
    <row r="239" spans="1:7" ht="15" x14ac:dyDescent="0.2">
      <c r="A239" s="34" t="s">
        <v>98</v>
      </c>
      <c r="B239" s="37">
        <v>45946</v>
      </c>
      <c r="C239" s="35">
        <v>118</v>
      </c>
      <c r="D239" s="35">
        <v>86.3</v>
      </c>
      <c r="E239" s="35">
        <v>48.4</v>
      </c>
      <c r="F239" s="35">
        <v>197.6</v>
      </c>
      <c r="G239" s="35">
        <v>149.19999999999999</v>
      </c>
    </row>
    <row r="240" spans="1:7" ht="15" x14ac:dyDescent="0.2">
      <c r="A240" s="34" t="s">
        <v>98</v>
      </c>
      <c r="B240" s="37">
        <v>45947</v>
      </c>
      <c r="C240" s="35">
        <v>119</v>
      </c>
      <c r="D240" s="35">
        <v>88.1</v>
      </c>
      <c r="E240" s="35">
        <v>49.1</v>
      </c>
      <c r="F240" s="35">
        <v>192.4</v>
      </c>
      <c r="G240" s="35">
        <v>143.19999999999999</v>
      </c>
    </row>
    <row r="241" spans="1:7" ht="15" x14ac:dyDescent="0.2">
      <c r="A241" s="34" t="s">
        <v>98</v>
      </c>
      <c r="B241" s="37">
        <v>45948</v>
      </c>
      <c r="C241" s="35">
        <v>120</v>
      </c>
      <c r="D241" s="35">
        <v>77.400000000000006</v>
      </c>
      <c r="E241" s="35">
        <v>37.4</v>
      </c>
      <c r="F241" s="35">
        <v>183.9</v>
      </c>
      <c r="G241" s="35">
        <v>146.4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241"/>
  <sheetViews>
    <sheetView workbookViewId="0"/>
  </sheetViews>
  <sheetFormatPr baseColWidth="10" defaultColWidth="12.6640625" defaultRowHeight="15.75" customHeight="1" x14ac:dyDescent="0.15"/>
  <cols>
    <col min="2" max="2" width="15.33203125" customWidth="1"/>
    <col min="3" max="3" width="22.6640625" customWidth="1"/>
    <col min="4" max="4" width="31.1640625" customWidth="1"/>
    <col min="5" max="5" width="38.6640625" customWidth="1"/>
    <col min="6" max="6" width="33.83203125" customWidth="1"/>
  </cols>
  <sheetData>
    <row r="1" spans="1:7" ht="15.75" customHeight="1" x14ac:dyDescent="0.15">
      <c r="A1" s="32" t="s">
        <v>96</v>
      </c>
      <c r="B1" s="33" t="s">
        <v>0</v>
      </c>
      <c r="C1" s="33" t="s">
        <v>133</v>
      </c>
      <c r="D1" s="33" t="s">
        <v>138</v>
      </c>
      <c r="E1" s="33" t="s">
        <v>139</v>
      </c>
      <c r="F1" s="33" t="s">
        <v>134</v>
      </c>
    </row>
    <row r="2" spans="1:7" x14ac:dyDescent="0.2">
      <c r="A2" s="34" t="s">
        <v>100</v>
      </c>
      <c r="B2" s="37">
        <v>45830</v>
      </c>
      <c r="C2" s="35">
        <v>1</v>
      </c>
      <c r="D2" s="35">
        <v>29.19</v>
      </c>
      <c r="E2" s="35">
        <v>28.09</v>
      </c>
      <c r="F2" s="35">
        <v>73.5</v>
      </c>
      <c r="G2" s="34"/>
    </row>
    <row r="3" spans="1:7" x14ac:dyDescent="0.2">
      <c r="A3" s="34" t="s">
        <v>100</v>
      </c>
      <c r="B3" s="37">
        <v>45831</v>
      </c>
      <c r="C3" s="35">
        <v>2</v>
      </c>
      <c r="D3" s="35">
        <v>28.67</v>
      </c>
      <c r="E3" s="35">
        <v>27.36</v>
      </c>
      <c r="F3" s="35">
        <v>87.3</v>
      </c>
      <c r="G3" s="34"/>
    </row>
    <row r="4" spans="1:7" x14ac:dyDescent="0.2">
      <c r="A4" s="34" t="s">
        <v>100</v>
      </c>
      <c r="B4" s="37">
        <v>45832</v>
      </c>
      <c r="C4" s="35">
        <v>3</v>
      </c>
      <c r="D4" s="35">
        <v>29.15</v>
      </c>
      <c r="E4" s="35">
        <v>27.75</v>
      </c>
      <c r="F4" s="35">
        <v>93.5</v>
      </c>
      <c r="G4" s="34"/>
    </row>
    <row r="5" spans="1:7" x14ac:dyDescent="0.2">
      <c r="A5" s="34" t="s">
        <v>100</v>
      </c>
      <c r="B5" s="37">
        <v>45833</v>
      </c>
      <c r="C5" s="35">
        <v>4</v>
      </c>
      <c r="D5" s="35">
        <v>29.22</v>
      </c>
      <c r="E5" s="35">
        <v>27.69</v>
      </c>
      <c r="F5" s="35">
        <v>101.6</v>
      </c>
      <c r="G5" s="34"/>
    </row>
    <row r="6" spans="1:7" x14ac:dyDescent="0.2">
      <c r="A6" s="34" t="s">
        <v>100</v>
      </c>
      <c r="B6" s="37">
        <v>45834</v>
      </c>
      <c r="C6" s="35">
        <v>5</v>
      </c>
      <c r="D6" s="35">
        <v>29.12</v>
      </c>
      <c r="E6" s="35">
        <v>27.83</v>
      </c>
      <c r="F6" s="35">
        <v>85.9</v>
      </c>
      <c r="G6" s="34"/>
    </row>
    <row r="7" spans="1:7" x14ac:dyDescent="0.2">
      <c r="A7" s="34" t="s">
        <v>100</v>
      </c>
      <c r="B7" s="37">
        <v>45835</v>
      </c>
      <c r="C7" s="35">
        <v>6</v>
      </c>
      <c r="D7" s="35">
        <v>29.03</v>
      </c>
      <c r="E7" s="35">
        <v>27.64</v>
      </c>
      <c r="F7" s="35">
        <v>93.1</v>
      </c>
      <c r="G7" s="34"/>
    </row>
    <row r="8" spans="1:7" x14ac:dyDescent="0.2">
      <c r="A8" s="34" t="s">
        <v>100</v>
      </c>
      <c r="B8" s="37">
        <v>45836</v>
      </c>
      <c r="C8" s="35">
        <v>7</v>
      </c>
      <c r="D8" s="35">
        <v>29.35</v>
      </c>
      <c r="E8" s="35">
        <v>28.04</v>
      </c>
      <c r="F8" s="35">
        <v>87.8</v>
      </c>
      <c r="G8" s="34"/>
    </row>
    <row r="9" spans="1:7" x14ac:dyDescent="0.2">
      <c r="A9" s="34" t="s">
        <v>100</v>
      </c>
      <c r="B9" s="37">
        <v>45837</v>
      </c>
      <c r="C9" s="35">
        <v>8</v>
      </c>
      <c r="D9" s="35">
        <v>29.3</v>
      </c>
      <c r="E9" s="35">
        <v>27.89</v>
      </c>
      <c r="F9" s="35">
        <v>93.8</v>
      </c>
      <c r="G9" s="34"/>
    </row>
    <row r="10" spans="1:7" x14ac:dyDescent="0.2">
      <c r="A10" s="34" t="s">
        <v>100</v>
      </c>
      <c r="B10" s="37">
        <v>45838</v>
      </c>
      <c r="C10" s="35">
        <v>9</v>
      </c>
      <c r="D10" s="35">
        <v>29.27</v>
      </c>
      <c r="E10" s="35">
        <v>27.67</v>
      </c>
      <c r="F10" s="35">
        <v>106.8</v>
      </c>
      <c r="G10" s="34"/>
    </row>
    <row r="11" spans="1:7" x14ac:dyDescent="0.2">
      <c r="A11" s="34" t="s">
        <v>100</v>
      </c>
      <c r="B11" s="37">
        <v>45839</v>
      </c>
      <c r="C11" s="35">
        <v>10</v>
      </c>
      <c r="D11" s="35">
        <v>29.48</v>
      </c>
      <c r="E11" s="35">
        <v>27.99</v>
      </c>
      <c r="F11" s="35">
        <v>99</v>
      </c>
      <c r="G11" s="34"/>
    </row>
    <row r="12" spans="1:7" x14ac:dyDescent="0.2">
      <c r="A12" s="34" t="s">
        <v>100</v>
      </c>
      <c r="B12" s="37">
        <v>45840</v>
      </c>
      <c r="C12" s="35">
        <v>11</v>
      </c>
      <c r="D12" s="35">
        <v>29.36</v>
      </c>
      <c r="E12" s="35">
        <v>27.92</v>
      </c>
      <c r="F12" s="35">
        <v>96.1</v>
      </c>
      <c r="G12" s="34"/>
    </row>
    <row r="13" spans="1:7" x14ac:dyDescent="0.2">
      <c r="A13" s="34" t="s">
        <v>100</v>
      </c>
      <c r="B13" s="37">
        <v>45841</v>
      </c>
      <c r="C13" s="35">
        <v>12</v>
      </c>
      <c r="D13" s="35">
        <v>29.37</v>
      </c>
      <c r="E13" s="35">
        <v>27.94</v>
      </c>
      <c r="F13" s="35">
        <v>95.3</v>
      </c>
      <c r="G13" s="34"/>
    </row>
    <row r="14" spans="1:7" x14ac:dyDescent="0.2">
      <c r="A14" s="34" t="s">
        <v>100</v>
      </c>
      <c r="B14" s="37">
        <v>45842</v>
      </c>
      <c r="C14" s="35">
        <v>13</v>
      </c>
      <c r="D14" s="35">
        <v>29.35</v>
      </c>
      <c r="E14" s="35">
        <v>27.93</v>
      </c>
      <c r="F14" s="35">
        <v>95.1</v>
      </c>
      <c r="G14" s="34"/>
    </row>
    <row r="15" spans="1:7" x14ac:dyDescent="0.2">
      <c r="A15" s="34" t="s">
        <v>100</v>
      </c>
      <c r="B15" s="37">
        <v>45843</v>
      </c>
      <c r="C15" s="35">
        <v>14</v>
      </c>
      <c r="D15" s="35">
        <v>29.54</v>
      </c>
      <c r="E15" s="35">
        <v>27.9</v>
      </c>
      <c r="F15" s="35">
        <v>108.9</v>
      </c>
      <c r="G15" s="34"/>
    </row>
    <row r="16" spans="1:7" x14ac:dyDescent="0.2">
      <c r="A16" s="34" t="s">
        <v>100</v>
      </c>
      <c r="B16" s="37">
        <v>45844</v>
      </c>
      <c r="C16" s="35">
        <v>15</v>
      </c>
      <c r="D16" s="35">
        <v>29.79</v>
      </c>
      <c r="E16" s="35">
        <v>28.18</v>
      </c>
      <c r="F16" s="35">
        <v>107.1</v>
      </c>
      <c r="G16" s="34"/>
    </row>
    <row r="17" spans="1:7" x14ac:dyDescent="0.2">
      <c r="A17" s="34" t="s">
        <v>100</v>
      </c>
      <c r="B17" s="37">
        <v>45845</v>
      </c>
      <c r="C17" s="35">
        <v>16</v>
      </c>
      <c r="D17" s="35">
        <v>29.91</v>
      </c>
      <c r="E17" s="35">
        <v>28.13</v>
      </c>
      <c r="F17" s="35">
        <v>118.9</v>
      </c>
      <c r="G17" s="34"/>
    </row>
    <row r="18" spans="1:7" x14ac:dyDescent="0.2">
      <c r="A18" s="34" t="s">
        <v>100</v>
      </c>
      <c r="B18" s="37">
        <v>45846</v>
      </c>
      <c r="C18" s="35">
        <v>17</v>
      </c>
      <c r="D18" s="35">
        <v>29.3</v>
      </c>
      <c r="E18" s="35">
        <v>27.78</v>
      </c>
      <c r="F18" s="35">
        <v>101</v>
      </c>
      <c r="G18" s="34"/>
    </row>
    <row r="19" spans="1:7" x14ac:dyDescent="0.2">
      <c r="A19" s="34" t="s">
        <v>100</v>
      </c>
      <c r="B19" s="37">
        <v>45847</v>
      </c>
      <c r="C19" s="35">
        <v>18</v>
      </c>
      <c r="D19" s="35">
        <v>29.65</v>
      </c>
      <c r="E19" s="35">
        <v>28.03</v>
      </c>
      <c r="F19" s="35">
        <v>107.9</v>
      </c>
      <c r="G19" s="34"/>
    </row>
    <row r="20" spans="1:7" x14ac:dyDescent="0.2">
      <c r="A20" s="34" t="s">
        <v>100</v>
      </c>
      <c r="B20" s="37">
        <v>45848</v>
      </c>
      <c r="C20" s="35">
        <v>19</v>
      </c>
      <c r="D20" s="35">
        <v>29.38</v>
      </c>
      <c r="E20" s="35">
        <v>27.82</v>
      </c>
      <c r="F20" s="35">
        <v>104</v>
      </c>
      <c r="G20" s="34"/>
    </row>
    <row r="21" spans="1:7" x14ac:dyDescent="0.2">
      <c r="A21" s="34" t="s">
        <v>100</v>
      </c>
      <c r="B21" s="37">
        <v>45849</v>
      </c>
      <c r="C21" s="35">
        <v>20</v>
      </c>
      <c r="D21" s="35">
        <v>29.75</v>
      </c>
      <c r="E21" s="35">
        <v>28.05</v>
      </c>
      <c r="F21" s="35">
        <v>113.5</v>
      </c>
      <c r="G21" s="34"/>
    </row>
    <row r="22" spans="1:7" x14ac:dyDescent="0.2">
      <c r="A22" s="34" t="s">
        <v>100</v>
      </c>
      <c r="B22" s="37">
        <v>45850</v>
      </c>
      <c r="C22" s="35">
        <v>21</v>
      </c>
      <c r="D22" s="35">
        <v>29.71</v>
      </c>
      <c r="E22" s="35">
        <v>28.01</v>
      </c>
      <c r="F22" s="35">
        <v>112.8</v>
      </c>
      <c r="G22" s="34"/>
    </row>
    <row r="23" spans="1:7" x14ac:dyDescent="0.2">
      <c r="A23" s="34" t="s">
        <v>100</v>
      </c>
      <c r="B23" s="37">
        <v>45851</v>
      </c>
      <c r="C23" s="35">
        <v>22</v>
      </c>
      <c r="D23" s="35">
        <v>29.99</v>
      </c>
      <c r="E23" s="35">
        <v>28.27</v>
      </c>
      <c r="F23" s="35">
        <v>115</v>
      </c>
      <c r="G23" s="34"/>
    </row>
    <row r="24" spans="1:7" x14ac:dyDescent="0.2">
      <c r="A24" s="34" t="s">
        <v>100</v>
      </c>
      <c r="B24" s="37">
        <v>45852</v>
      </c>
      <c r="C24" s="35">
        <v>23</v>
      </c>
      <c r="D24" s="35">
        <v>30.06</v>
      </c>
      <c r="E24" s="35">
        <v>28.38</v>
      </c>
      <c r="F24" s="35">
        <v>111.5</v>
      </c>
      <c r="G24" s="34"/>
    </row>
    <row r="25" spans="1:7" x14ac:dyDescent="0.2">
      <c r="A25" s="34" t="s">
        <v>100</v>
      </c>
      <c r="B25" s="37">
        <v>45853</v>
      </c>
      <c r="C25" s="35">
        <v>24</v>
      </c>
      <c r="D25" s="35">
        <v>30.13</v>
      </c>
      <c r="E25" s="35">
        <v>28.34</v>
      </c>
      <c r="F25" s="35">
        <v>118.8</v>
      </c>
      <c r="G25" s="34"/>
    </row>
    <row r="26" spans="1:7" x14ac:dyDescent="0.2">
      <c r="A26" s="34" t="s">
        <v>100</v>
      </c>
      <c r="B26" s="37">
        <v>45854</v>
      </c>
      <c r="C26" s="35">
        <v>25</v>
      </c>
      <c r="D26" s="35">
        <v>29.73</v>
      </c>
      <c r="E26" s="35">
        <v>28.07</v>
      </c>
      <c r="F26" s="35">
        <v>110.7</v>
      </c>
      <c r="G26" s="34"/>
    </row>
    <row r="27" spans="1:7" x14ac:dyDescent="0.2">
      <c r="A27" s="34" t="s">
        <v>100</v>
      </c>
      <c r="B27" s="37">
        <v>45855</v>
      </c>
      <c r="C27" s="35">
        <v>26</v>
      </c>
      <c r="D27" s="35">
        <v>29.91</v>
      </c>
      <c r="E27" s="35">
        <v>28.12</v>
      </c>
      <c r="F27" s="35">
        <v>119.8</v>
      </c>
      <c r="G27" s="34"/>
    </row>
    <row r="28" spans="1:7" x14ac:dyDescent="0.2">
      <c r="A28" s="34" t="s">
        <v>100</v>
      </c>
      <c r="B28" s="37">
        <v>45856</v>
      </c>
      <c r="C28" s="35">
        <v>27</v>
      </c>
      <c r="D28" s="35">
        <v>30.19</v>
      </c>
      <c r="E28" s="35">
        <v>28.65</v>
      </c>
      <c r="F28" s="35">
        <v>102.5</v>
      </c>
      <c r="G28" s="34"/>
    </row>
    <row r="29" spans="1:7" x14ac:dyDescent="0.2">
      <c r="A29" s="34" t="s">
        <v>100</v>
      </c>
      <c r="B29" s="37">
        <v>45857</v>
      </c>
      <c r="C29" s="35">
        <v>28</v>
      </c>
      <c r="D29" s="35">
        <v>29.71</v>
      </c>
      <c r="E29" s="35">
        <v>28.1</v>
      </c>
      <c r="F29" s="35">
        <v>107.3</v>
      </c>
      <c r="G29" s="34"/>
    </row>
    <row r="30" spans="1:7" x14ac:dyDescent="0.2">
      <c r="A30" s="34" t="s">
        <v>100</v>
      </c>
      <c r="B30" s="37">
        <v>45858</v>
      </c>
      <c r="C30" s="35">
        <v>29</v>
      </c>
      <c r="D30" s="35">
        <v>29.77</v>
      </c>
      <c r="E30" s="35">
        <v>28.19</v>
      </c>
      <c r="F30" s="35">
        <v>105</v>
      </c>
      <c r="G30" s="34"/>
    </row>
    <row r="31" spans="1:7" x14ac:dyDescent="0.2">
      <c r="A31" s="34" t="s">
        <v>100</v>
      </c>
      <c r="B31" s="37">
        <v>45859</v>
      </c>
      <c r="C31" s="35">
        <v>30</v>
      </c>
      <c r="D31" s="35">
        <v>29.53</v>
      </c>
      <c r="E31" s="35">
        <v>27.97</v>
      </c>
      <c r="F31" s="35">
        <v>104</v>
      </c>
      <c r="G31" s="34"/>
    </row>
    <row r="32" spans="1:7" x14ac:dyDescent="0.2">
      <c r="A32" s="34" t="s">
        <v>100</v>
      </c>
      <c r="B32" s="37">
        <v>45860</v>
      </c>
      <c r="C32" s="35">
        <v>31</v>
      </c>
      <c r="D32" s="35">
        <v>29.37</v>
      </c>
      <c r="E32" s="35">
        <v>27.84</v>
      </c>
      <c r="F32" s="35">
        <v>102</v>
      </c>
      <c r="G32" s="34"/>
    </row>
    <row r="33" spans="1:7" x14ac:dyDescent="0.2">
      <c r="A33" s="34" t="s">
        <v>100</v>
      </c>
      <c r="B33" s="37">
        <v>45861</v>
      </c>
      <c r="C33" s="35">
        <v>32</v>
      </c>
      <c r="D33" s="35">
        <v>29.56</v>
      </c>
      <c r="E33" s="35">
        <v>28.02</v>
      </c>
      <c r="F33" s="35">
        <v>102.7</v>
      </c>
      <c r="G33" s="34"/>
    </row>
    <row r="34" spans="1:7" x14ac:dyDescent="0.2">
      <c r="A34" s="34" t="s">
        <v>100</v>
      </c>
      <c r="B34" s="37">
        <v>45862</v>
      </c>
      <c r="C34" s="35">
        <v>33</v>
      </c>
      <c r="D34" s="35">
        <v>29.56</v>
      </c>
      <c r="E34" s="35">
        <v>28.25</v>
      </c>
      <c r="F34" s="35">
        <v>87.7</v>
      </c>
      <c r="G34" s="34"/>
    </row>
    <row r="35" spans="1:7" x14ac:dyDescent="0.2">
      <c r="A35" s="34" t="s">
        <v>100</v>
      </c>
      <c r="B35" s="37">
        <v>45863</v>
      </c>
      <c r="C35" s="35">
        <v>34</v>
      </c>
      <c r="D35" s="35">
        <v>30.12</v>
      </c>
      <c r="E35" s="35">
        <v>28.74</v>
      </c>
      <c r="F35" s="35">
        <v>92.3</v>
      </c>
      <c r="G35" s="34"/>
    </row>
    <row r="36" spans="1:7" x14ac:dyDescent="0.2">
      <c r="A36" s="34" t="s">
        <v>100</v>
      </c>
      <c r="B36" s="37">
        <v>45864</v>
      </c>
      <c r="C36" s="35">
        <v>35</v>
      </c>
      <c r="D36" s="35">
        <v>29.88</v>
      </c>
      <c r="E36" s="35">
        <v>28.57</v>
      </c>
      <c r="F36" s="35">
        <v>87</v>
      </c>
      <c r="G36" s="34"/>
    </row>
    <row r="37" spans="1:7" x14ac:dyDescent="0.2">
      <c r="A37" s="34" t="s">
        <v>100</v>
      </c>
      <c r="B37" s="37">
        <v>45865</v>
      </c>
      <c r="C37" s="35">
        <v>36</v>
      </c>
      <c r="D37" s="35">
        <v>29.73</v>
      </c>
      <c r="E37" s="35">
        <v>28.4</v>
      </c>
      <c r="F37" s="35">
        <v>88.9</v>
      </c>
      <c r="G37" s="34"/>
    </row>
    <row r="38" spans="1:7" x14ac:dyDescent="0.2">
      <c r="A38" s="34" t="s">
        <v>100</v>
      </c>
      <c r="B38" s="37">
        <v>45866</v>
      </c>
      <c r="C38" s="35">
        <v>37</v>
      </c>
      <c r="D38" s="35">
        <v>29.95</v>
      </c>
      <c r="E38" s="35">
        <v>28.6</v>
      </c>
      <c r="F38" s="35">
        <v>89.9</v>
      </c>
      <c r="G38" s="34"/>
    </row>
    <row r="39" spans="1:7" x14ac:dyDescent="0.2">
      <c r="A39" s="34" t="s">
        <v>100</v>
      </c>
      <c r="B39" s="37">
        <v>45867</v>
      </c>
      <c r="C39" s="35">
        <v>38</v>
      </c>
      <c r="D39" s="35">
        <v>29.72</v>
      </c>
      <c r="E39" s="35">
        <v>28.52</v>
      </c>
      <c r="F39" s="35">
        <v>80.5</v>
      </c>
      <c r="G39" s="34"/>
    </row>
    <row r="40" spans="1:7" x14ac:dyDescent="0.2">
      <c r="A40" s="34" t="s">
        <v>100</v>
      </c>
      <c r="B40" s="37">
        <v>45868</v>
      </c>
      <c r="C40" s="35">
        <v>39</v>
      </c>
      <c r="D40" s="35">
        <v>29.66</v>
      </c>
      <c r="E40" s="35">
        <v>28.23</v>
      </c>
      <c r="F40" s="35">
        <v>95.1</v>
      </c>
      <c r="G40" s="34"/>
    </row>
    <row r="41" spans="1:7" x14ac:dyDescent="0.2">
      <c r="A41" s="34" t="s">
        <v>100</v>
      </c>
      <c r="B41" s="37">
        <v>45869</v>
      </c>
      <c r="C41" s="35">
        <v>40</v>
      </c>
      <c r="D41" s="35">
        <v>29.61</v>
      </c>
      <c r="E41" s="35">
        <v>28.42</v>
      </c>
      <c r="F41" s="35">
        <v>79.400000000000006</v>
      </c>
      <c r="G41" s="34"/>
    </row>
    <row r="42" spans="1:7" x14ac:dyDescent="0.2">
      <c r="A42" s="34" t="s">
        <v>100</v>
      </c>
      <c r="B42" s="37">
        <v>45870</v>
      </c>
      <c r="C42" s="35">
        <v>41</v>
      </c>
      <c r="D42" s="35">
        <v>29.5</v>
      </c>
      <c r="E42" s="35">
        <v>28.24</v>
      </c>
      <c r="F42" s="35">
        <v>84.1</v>
      </c>
      <c r="G42" s="34"/>
    </row>
    <row r="43" spans="1:7" x14ac:dyDescent="0.2">
      <c r="A43" s="34" t="s">
        <v>100</v>
      </c>
      <c r="B43" s="37">
        <v>45871</v>
      </c>
      <c r="C43" s="35">
        <v>42</v>
      </c>
      <c r="D43" s="35">
        <v>29.56</v>
      </c>
      <c r="E43" s="35">
        <v>28.33</v>
      </c>
      <c r="F43" s="35">
        <v>82</v>
      </c>
      <c r="G43" s="34"/>
    </row>
    <row r="44" spans="1:7" x14ac:dyDescent="0.2">
      <c r="A44" s="34" t="s">
        <v>100</v>
      </c>
      <c r="B44" s="37">
        <v>45872</v>
      </c>
      <c r="C44" s="35">
        <v>43</v>
      </c>
      <c r="D44" s="35">
        <v>29.37</v>
      </c>
      <c r="E44" s="35">
        <v>28.29</v>
      </c>
      <c r="F44" s="35">
        <v>71.900000000000006</v>
      </c>
      <c r="G44" s="34"/>
    </row>
    <row r="45" spans="1:7" x14ac:dyDescent="0.2">
      <c r="A45" s="34" t="s">
        <v>100</v>
      </c>
      <c r="B45" s="37">
        <v>45873</v>
      </c>
      <c r="C45" s="35">
        <v>44</v>
      </c>
      <c r="D45" s="35">
        <v>29.71</v>
      </c>
      <c r="E45" s="35">
        <v>28.64</v>
      </c>
      <c r="F45" s="35">
        <v>71.7</v>
      </c>
      <c r="G45" s="34"/>
    </row>
    <row r="46" spans="1:7" x14ac:dyDescent="0.2">
      <c r="A46" s="34" t="s">
        <v>100</v>
      </c>
      <c r="B46" s="37">
        <v>45874</v>
      </c>
      <c r="C46" s="35">
        <v>45</v>
      </c>
      <c r="D46" s="35">
        <v>29.42</v>
      </c>
      <c r="E46" s="35">
        <v>28.47</v>
      </c>
      <c r="F46" s="35">
        <v>63.2</v>
      </c>
      <c r="G46" s="34"/>
    </row>
    <row r="47" spans="1:7" x14ac:dyDescent="0.2">
      <c r="A47" s="34" t="s">
        <v>100</v>
      </c>
      <c r="B47" s="37">
        <v>45875</v>
      </c>
      <c r="C47" s="35">
        <v>46</v>
      </c>
      <c r="D47" s="35">
        <v>30</v>
      </c>
      <c r="E47" s="35">
        <v>28.98</v>
      </c>
      <c r="F47" s="35">
        <v>67.900000000000006</v>
      </c>
      <c r="G47" s="34"/>
    </row>
    <row r="48" spans="1:7" x14ac:dyDescent="0.2">
      <c r="A48" s="34" t="s">
        <v>100</v>
      </c>
      <c r="B48" s="37">
        <v>45876</v>
      </c>
      <c r="C48" s="35">
        <v>47</v>
      </c>
      <c r="D48" s="35">
        <v>29.7</v>
      </c>
      <c r="E48" s="35">
        <v>28.67</v>
      </c>
      <c r="F48" s="35">
        <v>68.7</v>
      </c>
      <c r="G48" s="34"/>
    </row>
    <row r="49" spans="1:7" ht="15" x14ac:dyDescent="0.2">
      <c r="A49" s="34" t="s">
        <v>100</v>
      </c>
      <c r="B49" s="37">
        <v>45877</v>
      </c>
      <c r="C49" s="35">
        <v>48</v>
      </c>
      <c r="D49" s="35">
        <v>29.3</v>
      </c>
      <c r="E49" s="35">
        <v>28.38</v>
      </c>
      <c r="F49" s="35">
        <v>61.3</v>
      </c>
      <c r="G49" s="34"/>
    </row>
    <row r="50" spans="1:7" ht="15" x14ac:dyDescent="0.2">
      <c r="A50" s="34" t="s">
        <v>100</v>
      </c>
      <c r="B50" s="37">
        <v>45878</v>
      </c>
      <c r="C50" s="35">
        <v>49</v>
      </c>
      <c r="D50" s="35">
        <v>29.53</v>
      </c>
      <c r="E50" s="35">
        <v>28.61</v>
      </c>
      <c r="F50" s="35">
        <v>61.7</v>
      </c>
      <c r="G50" s="34"/>
    </row>
    <row r="51" spans="1:7" ht="15" x14ac:dyDescent="0.2">
      <c r="A51" s="34" t="s">
        <v>100</v>
      </c>
      <c r="B51" s="37">
        <v>45879</v>
      </c>
      <c r="C51" s="35">
        <v>50</v>
      </c>
      <c r="D51" s="35">
        <v>29.44</v>
      </c>
      <c r="E51" s="35">
        <v>28.53</v>
      </c>
      <c r="F51" s="35">
        <v>60.6</v>
      </c>
      <c r="G51" s="34"/>
    </row>
    <row r="52" spans="1:7" ht="15" x14ac:dyDescent="0.2">
      <c r="A52" s="34" t="s">
        <v>100</v>
      </c>
      <c r="B52" s="37">
        <v>45880</v>
      </c>
      <c r="C52" s="35">
        <v>51</v>
      </c>
      <c r="D52" s="35">
        <v>29.45</v>
      </c>
      <c r="E52" s="35">
        <v>28.53</v>
      </c>
      <c r="F52" s="35">
        <v>61.2</v>
      </c>
      <c r="G52" s="34"/>
    </row>
    <row r="53" spans="1:7" ht="15" x14ac:dyDescent="0.2">
      <c r="A53" s="34" t="s">
        <v>100</v>
      </c>
      <c r="B53" s="37">
        <v>45881</v>
      </c>
      <c r="C53" s="35">
        <v>52</v>
      </c>
      <c r="D53" s="35">
        <v>29.34</v>
      </c>
      <c r="E53" s="35">
        <v>28.41</v>
      </c>
      <c r="F53" s="35">
        <v>62.3</v>
      </c>
      <c r="G53" s="34"/>
    </row>
    <row r="54" spans="1:7" ht="15" x14ac:dyDescent="0.2">
      <c r="A54" s="34" t="s">
        <v>100</v>
      </c>
      <c r="B54" s="37">
        <v>45882</v>
      </c>
      <c r="C54" s="35">
        <v>53</v>
      </c>
      <c r="D54" s="35">
        <v>29.42</v>
      </c>
      <c r="E54" s="35">
        <v>28.66</v>
      </c>
      <c r="F54" s="35">
        <v>50.8</v>
      </c>
      <c r="G54" s="34"/>
    </row>
    <row r="55" spans="1:7" ht="15" x14ac:dyDescent="0.2">
      <c r="A55" s="34" t="s">
        <v>100</v>
      </c>
      <c r="B55" s="37">
        <v>45883</v>
      </c>
      <c r="C55" s="35">
        <v>54</v>
      </c>
      <c r="D55" s="35">
        <v>29.28</v>
      </c>
      <c r="E55" s="35">
        <v>28.5</v>
      </c>
      <c r="F55" s="35">
        <v>52.4</v>
      </c>
      <c r="G55" s="34"/>
    </row>
    <row r="56" spans="1:7" ht="15" x14ac:dyDescent="0.2">
      <c r="A56" s="34" t="s">
        <v>100</v>
      </c>
      <c r="B56" s="37">
        <v>45884</v>
      </c>
      <c r="C56" s="35">
        <v>55</v>
      </c>
      <c r="D56" s="35">
        <v>29.22</v>
      </c>
      <c r="E56" s="35">
        <v>28.43</v>
      </c>
      <c r="F56" s="35">
        <v>52.3</v>
      </c>
      <c r="G56" s="34"/>
    </row>
    <row r="57" spans="1:7" ht="15" x14ac:dyDescent="0.2">
      <c r="A57" s="34" t="s">
        <v>100</v>
      </c>
      <c r="B57" s="37">
        <v>45885</v>
      </c>
      <c r="C57" s="35">
        <v>56</v>
      </c>
      <c r="D57" s="35">
        <v>29.1</v>
      </c>
      <c r="E57" s="35">
        <v>28.26</v>
      </c>
      <c r="F57" s="35">
        <v>55.7</v>
      </c>
      <c r="G57" s="34"/>
    </row>
    <row r="58" spans="1:7" ht="15" x14ac:dyDescent="0.2">
      <c r="A58" s="34" t="s">
        <v>100</v>
      </c>
      <c r="B58" s="37">
        <v>45886</v>
      </c>
      <c r="C58" s="35">
        <v>57</v>
      </c>
      <c r="D58" s="35">
        <v>29.38</v>
      </c>
      <c r="E58" s="35">
        <v>28.55</v>
      </c>
      <c r="F58" s="35">
        <v>55.5</v>
      </c>
      <c r="G58" s="34"/>
    </row>
    <row r="59" spans="1:7" ht="15" x14ac:dyDescent="0.2">
      <c r="A59" s="34" t="s">
        <v>100</v>
      </c>
      <c r="B59" s="37">
        <v>45887</v>
      </c>
      <c r="C59" s="35">
        <v>58</v>
      </c>
      <c r="D59" s="35">
        <v>29.11</v>
      </c>
      <c r="E59" s="35">
        <v>28.46</v>
      </c>
      <c r="F59" s="35">
        <v>43.7</v>
      </c>
      <c r="G59" s="34"/>
    </row>
    <row r="60" spans="1:7" ht="15" x14ac:dyDescent="0.2">
      <c r="A60" s="34" t="s">
        <v>100</v>
      </c>
      <c r="B60" s="37">
        <v>45888</v>
      </c>
      <c r="C60" s="35">
        <v>59</v>
      </c>
      <c r="D60" s="35">
        <v>28.86</v>
      </c>
      <c r="E60" s="35">
        <v>28.19</v>
      </c>
      <c r="F60" s="35">
        <v>44.3</v>
      </c>
      <c r="G60" s="34"/>
    </row>
    <row r="61" spans="1:7" ht="15" x14ac:dyDescent="0.2">
      <c r="A61" s="34" t="s">
        <v>100</v>
      </c>
      <c r="B61" s="37">
        <v>45889</v>
      </c>
      <c r="C61" s="35">
        <v>60</v>
      </c>
      <c r="D61" s="35">
        <v>29.15</v>
      </c>
      <c r="E61" s="35">
        <v>28.46</v>
      </c>
      <c r="F61" s="35">
        <v>46.3</v>
      </c>
      <c r="G61" s="34"/>
    </row>
    <row r="62" spans="1:7" ht="15" x14ac:dyDescent="0.2">
      <c r="A62" s="34" t="s">
        <v>100</v>
      </c>
      <c r="B62" s="37">
        <v>45890</v>
      </c>
      <c r="C62" s="35">
        <v>61</v>
      </c>
      <c r="D62" s="35">
        <v>29.3</v>
      </c>
      <c r="E62" s="35">
        <v>28.53</v>
      </c>
      <c r="F62" s="35">
        <v>50.9</v>
      </c>
      <c r="G62" s="34"/>
    </row>
    <row r="63" spans="1:7" ht="15" x14ac:dyDescent="0.2">
      <c r="A63" s="34" t="s">
        <v>100</v>
      </c>
      <c r="B63" s="37">
        <v>45891</v>
      </c>
      <c r="C63" s="35">
        <v>62</v>
      </c>
      <c r="D63" s="35">
        <v>29.04</v>
      </c>
      <c r="E63" s="35">
        <v>28.27</v>
      </c>
      <c r="F63" s="35">
        <v>50.8</v>
      </c>
      <c r="G63" s="34"/>
    </row>
    <row r="64" spans="1:7" ht="15" x14ac:dyDescent="0.2">
      <c r="A64" s="34" t="s">
        <v>100</v>
      </c>
      <c r="B64" s="37">
        <v>45892</v>
      </c>
      <c r="C64" s="35">
        <v>63</v>
      </c>
      <c r="D64" s="35">
        <v>29.17</v>
      </c>
      <c r="E64" s="35">
        <v>28.41</v>
      </c>
      <c r="F64" s="35">
        <v>50.6</v>
      </c>
      <c r="G64" s="34"/>
    </row>
    <row r="65" spans="1:7" ht="15" x14ac:dyDescent="0.2">
      <c r="A65" s="34" t="s">
        <v>100</v>
      </c>
      <c r="B65" s="37">
        <v>45893</v>
      </c>
      <c r="C65" s="35">
        <v>64</v>
      </c>
      <c r="D65" s="35">
        <v>28.77</v>
      </c>
      <c r="E65" s="35">
        <v>27.93</v>
      </c>
      <c r="F65" s="35">
        <v>56.3</v>
      </c>
      <c r="G65" s="34"/>
    </row>
    <row r="66" spans="1:7" ht="15" x14ac:dyDescent="0.2">
      <c r="A66" s="34" t="s">
        <v>100</v>
      </c>
      <c r="B66" s="37">
        <v>45894</v>
      </c>
      <c r="C66" s="35">
        <v>65</v>
      </c>
      <c r="D66" s="35">
        <v>28.85</v>
      </c>
      <c r="E66" s="35">
        <v>28</v>
      </c>
      <c r="F66" s="35">
        <v>56.1</v>
      </c>
      <c r="G66" s="34"/>
    </row>
    <row r="67" spans="1:7" ht="15" x14ac:dyDescent="0.2">
      <c r="A67" s="34" t="s">
        <v>100</v>
      </c>
      <c r="B67" s="37">
        <v>45895</v>
      </c>
      <c r="C67" s="35">
        <v>66</v>
      </c>
      <c r="D67" s="35">
        <v>28.91</v>
      </c>
      <c r="E67" s="35">
        <v>28.12</v>
      </c>
      <c r="F67" s="35">
        <v>52.4</v>
      </c>
      <c r="G67" s="34"/>
    </row>
    <row r="68" spans="1:7" ht="15" x14ac:dyDescent="0.2">
      <c r="A68" s="34" t="s">
        <v>100</v>
      </c>
      <c r="B68" s="37">
        <v>45896</v>
      </c>
      <c r="C68" s="35">
        <v>67</v>
      </c>
      <c r="D68" s="35">
        <v>28.76</v>
      </c>
      <c r="E68" s="35">
        <v>28.1</v>
      </c>
      <c r="F68" s="35">
        <v>43.8</v>
      </c>
      <c r="G68" s="34"/>
    </row>
    <row r="69" spans="1:7" ht="15" x14ac:dyDescent="0.2">
      <c r="A69" s="34" t="s">
        <v>100</v>
      </c>
      <c r="B69" s="37">
        <v>45897</v>
      </c>
      <c r="C69" s="35">
        <v>68</v>
      </c>
      <c r="D69" s="35">
        <v>28.35</v>
      </c>
      <c r="E69" s="35">
        <v>27.47</v>
      </c>
      <c r="F69" s="35">
        <v>58.4</v>
      </c>
      <c r="G69" s="34"/>
    </row>
    <row r="70" spans="1:7" ht="15" x14ac:dyDescent="0.2">
      <c r="A70" s="34" t="s">
        <v>100</v>
      </c>
      <c r="B70" s="37">
        <v>45898</v>
      </c>
      <c r="C70" s="35">
        <v>69</v>
      </c>
      <c r="D70" s="35">
        <v>28.43</v>
      </c>
      <c r="E70" s="35">
        <v>27.63</v>
      </c>
      <c r="F70" s="35">
        <v>53.5</v>
      </c>
      <c r="G70" s="34"/>
    </row>
    <row r="71" spans="1:7" ht="15" x14ac:dyDescent="0.2">
      <c r="A71" s="34" t="s">
        <v>100</v>
      </c>
      <c r="B71" s="37">
        <v>45899</v>
      </c>
      <c r="C71" s="35">
        <v>70</v>
      </c>
      <c r="D71" s="35">
        <v>28.85</v>
      </c>
      <c r="E71" s="35">
        <v>27.94</v>
      </c>
      <c r="F71" s="35">
        <v>60.6</v>
      </c>
      <c r="G71" s="34"/>
    </row>
    <row r="72" spans="1:7" ht="15" x14ac:dyDescent="0.2">
      <c r="A72" s="34" t="s">
        <v>100</v>
      </c>
      <c r="B72" s="37">
        <v>45900</v>
      </c>
      <c r="C72" s="35">
        <v>71</v>
      </c>
      <c r="D72" s="35">
        <v>28.75</v>
      </c>
      <c r="E72" s="35">
        <v>27.86</v>
      </c>
      <c r="F72" s="35">
        <v>59.4</v>
      </c>
      <c r="G72" s="34"/>
    </row>
    <row r="73" spans="1:7" ht="15" x14ac:dyDescent="0.2">
      <c r="A73" s="34" t="s">
        <v>100</v>
      </c>
      <c r="B73" s="37">
        <v>45901</v>
      </c>
      <c r="C73" s="35">
        <v>72</v>
      </c>
      <c r="D73" s="35">
        <v>28.49</v>
      </c>
      <c r="E73" s="35">
        <v>27.57</v>
      </c>
      <c r="F73" s="35">
        <v>61.6</v>
      </c>
      <c r="G73" s="34"/>
    </row>
    <row r="74" spans="1:7" ht="15" x14ac:dyDescent="0.2">
      <c r="A74" s="34" t="s">
        <v>100</v>
      </c>
      <c r="B74" s="37">
        <v>45902</v>
      </c>
      <c r="C74" s="35">
        <v>73</v>
      </c>
      <c r="D74" s="35">
        <v>28.3</v>
      </c>
      <c r="E74" s="35">
        <v>27.33</v>
      </c>
      <c r="F74" s="35">
        <v>64.8</v>
      </c>
      <c r="G74" s="34"/>
    </row>
    <row r="75" spans="1:7" ht="15" x14ac:dyDescent="0.2">
      <c r="A75" s="34" t="s">
        <v>100</v>
      </c>
      <c r="B75" s="37">
        <v>45903</v>
      </c>
      <c r="C75" s="35">
        <v>74</v>
      </c>
      <c r="D75" s="35">
        <v>28.61</v>
      </c>
      <c r="E75" s="35">
        <v>27.47</v>
      </c>
      <c r="F75" s="35">
        <v>76.2</v>
      </c>
      <c r="G75" s="34"/>
    </row>
    <row r="76" spans="1:7" ht="15" x14ac:dyDescent="0.2">
      <c r="A76" s="34" t="s">
        <v>100</v>
      </c>
      <c r="B76" s="37">
        <v>45904</v>
      </c>
      <c r="C76" s="35">
        <v>75</v>
      </c>
      <c r="D76" s="35">
        <v>28.43</v>
      </c>
      <c r="E76" s="35">
        <v>27.56</v>
      </c>
      <c r="F76" s="35">
        <v>58.5</v>
      </c>
      <c r="G76" s="34"/>
    </row>
    <row r="77" spans="1:7" ht="15" x14ac:dyDescent="0.2">
      <c r="A77" s="34" t="s">
        <v>100</v>
      </c>
      <c r="B77" s="37">
        <v>45905</v>
      </c>
      <c r="C77" s="35">
        <v>76</v>
      </c>
      <c r="D77" s="35">
        <v>28.13</v>
      </c>
      <c r="E77" s="35">
        <v>27.09</v>
      </c>
      <c r="F77" s="35">
        <v>69.2</v>
      </c>
      <c r="G77" s="34"/>
    </row>
    <row r="78" spans="1:7" ht="15" x14ac:dyDescent="0.2">
      <c r="A78" s="34" t="s">
        <v>100</v>
      </c>
      <c r="B78" s="37">
        <v>45906</v>
      </c>
      <c r="C78" s="35">
        <v>77</v>
      </c>
      <c r="D78" s="35">
        <v>28.24</v>
      </c>
      <c r="E78" s="35">
        <v>27.2</v>
      </c>
      <c r="F78" s="35">
        <v>69.099999999999994</v>
      </c>
      <c r="G78" s="34"/>
    </row>
    <row r="79" spans="1:7" ht="15" x14ac:dyDescent="0.2">
      <c r="A79" s="34" t="s">
        <v>100</v>
      </c>
      <c r="B79" s="37">
        <v>45907</v>
      </c>
      <c r="C79" s="35">
        <v>78</v>
      </c>
      <c r="D79" s="35">
        <v>28.52</v>
      </c>
      <c r="E79" s="35">
        <v>27.51</v>
      </c>
      <c r="F79" s="35">
        <v>67.8</v>
      </c>
      <c r="G79" s="34"/>
    </row>
    <row r="80" spans="1:7" ht="15" x14ac:dyDescent="0.2">
      <c r="A80" s="34" t="s">
        <v>100</v>
      </c>
      <c r="B80" s="37">
        <v>45908</v>
      </c>
      <c r="C80" s="35">
        <v>79</v>
      </c>
      <c r="D80" s="35">
        <v>28.31</v>
      </c>
      <c r="E80" s="35">
        <v>27.18</v>
      </c>
      <c r="F80" s="35">
        <v>75.599999999999994</v>
      </c>
      <c r="G80" s="34"/>
    </row>
    <row r="81" spans="1:7" ht="15" x14ac:dyDescent="0.2">
      <c r="A81" s="34" t="s">
        <v>100</v>
      </c>
      <c r="B81" s="37">
        <v>45909</v>
      </c>
      <c r="C81" s="35">
        <v>80</v>
      </c>
      <c r="D81" s="35">
        <v>28.13</v>
      </c>
      <c r="E81" s="35">
        <v>26.92</v>
      </c>
      <c r="F81" s="35">
        <v>80.599999999999994</v>
      </c>
      <c r="G81" s="34"/>
    </row>
    <row r="82" spans="1:7" ht="15" x14ac:dyDescent="0.2">
      <c r="A82" s="34" t="s">
        <v>100</v>
      </c>
      <c r="B82" s="37">
        <v>45910</v>
      </c>
      <c r="C82" s="35">
        <v>81</v>
      </c>
      <c r="D82" s="35">
        <v>28.23</v>
      </c>
      <c r="E82" s="35">
        <v>26.95</v>
      </c>
      <c r="F82" s="35">
        <v>85.6</v>
      </c>
      <c r="G82" s="34"/>
    </row>
    <row r="83" spans="1:7" ht="15" x14ac:dyDescent="0.2">
      <c r="A83" s="34" t="s">
        <v>100</v>
      </c>
      <c r="B83" s="37">
        <v>45911</v>
      </c>
      <c r="C83" s="35">
        <v>82</v>
      </c>
      <c r="D83" s="35">
        <v>28.49</v>
      </c>
      <c r="E83" s="35">
        <v>27.27</v>
      </c>
      <c r="F83" s="35">
        <v>80.900000000000006</v>
      </c>
      <c r="G83" s="34"/>
    </row>
    <row r="84" spans="1:7" ht="15" x14ac:dyDescent="0.2">
      <c r="A84" s="34" t="s">
        <v>100</v>
      </c>
      <c r="B84" s="37">
        <v>45912</v>
      </c>
      <c r="C84" s="35">
        <v>83</v>
      </c>
      <c r="D84" s="35">
        <v>28.54</v>
      </c>
      <c r="E84" s="35">
        <v>27.28</v>
      </c>
      <c r="F84" s="35">
        <v>83.7</v>
      </c>
      <c r="G84" s="34"/>
    </row>
    <row r="85" spans="1:7" ht="15" x14ac:dyDescent="0.2">
      <c r="A85" s="34" t="s">
        <v>100</v>
      </c>
      <c r="B85" s="37">
        <v>45913</v>
      </c>
      <c r="C85" s="35">
        <v>84</v>
      </c>
      <c r="D85" s="35">
        <v>28.4</v>
      </c>
      <c r="E85" s="35">
        <v>27.08</v>
      </c>
      <c r="F85" s="35">
        <v>87.7</v>
      </c>
      <c r="G85" s="34"/>
    </row>
    <row r="86" spans="1:7" ht="15" x14ac:dyDescent="0.2">
      <c r="A86" s="34" t="s">
        <v>100</v>
      </c>
      <c r="B86" s="37">
        <v>45914</v>
      </c>
      <c r="C86" s="35">
        <v>85</v>
      </c>
      <c r="D86" s="35">
        <v>28.4</v>
      </c>
      <c r="E86" s="35">
        <v>27.02</v>
      </c>
      <c r="F86" s="35">
        <v>91.9</v>
      </c>
      <c r="G86" s="34"/>
    </row>
    <row r="87" spans="1:7" ht="15" x14ac:dyDescent="0.2">
      <c r="A87" s="34" t="s">
        <v>100</v>
      </c>
      <c r="B87" s="37">
        <v>45915</v>
      </c>
      <c r="C87" s="35">
        <v>86</v>
      </c>
      <c r="D87" s="35">
        <v>28.22</v>
      </c>
      <c r="E87" s="35">
        <v>26.86</v>
      </c>
      <c r="F87" s="35">
        <v>90.9</v>
      </c>
      <c r="G87" s="34"/>
    </row>
    <row r="88" spans="1:7" ht="15" x14ac:dyDescent="0.2">
      <c r="A88" s="34" t="s">
        <v>100</v>
      </c>
      <c r="B88" s="37">
        <v>45916</v>
      </c>
      <c r="C88" s="35">
        <v>87</v>
      </c>
      <c r="D88" s="35">
        <v>28.02</v>
      </c>
      <c r="E88" s="35">
        <v>26.42</v>
      </c>
      <c r="F88" s="35">
        <v>106.7</v>
      </c>
      <c r="G88" s="34"/>
    </row>
    <row r="89" spans="1:7" ht="15" x14ac:dyDescent="0.2">
      <c r="A89" s="34" t="s">
        <v>100</v>
      </c>
      <c r="B89" s="37">
        <v>45917</v>
      </c>
      <c r="C89" s="35">
        <v>88</v>
      </c>
      <c r="D89" s="35">
        <v>27.96</v>
      </c>
      <c r="E89" s="35">
        <v>26.55</v>
      </c>
      <c r="F89" s="35">
        <v>94.3</v>
      </c>
      <c r="G89" s="34"/>
    </row>
    <row r="90" spans="1:7" ht="15" x14ac:dyDescent="0.2">
      <c r="A90" s="34" t="s">
        <v>100</v>
      </c>
      <c r="B90" s="37">
        <v>45918</v>
      </c>
      <c r="C90" s="35">
        <v>89</v>
      </c>
      <c r="D90" s="35">
        <v>28</v>
      </c>
      <c r="E90" s="35">
        <v>26.52</v>
      </c>
      <c r="F90" s="35">
        <v>98.4</v>
      </c>
      <c r="G90" s="34"/>
    </row>
    <row r="91" spans="1:7" ht="15" x14ac:dyDescent="0.2">
      <c r="A91" s="34" t="s">
        <v>100</v>
      </c>
      <c r="B91" s="37">
        <v>45919</v>
      </c>
      <c r="C91" s="35">
        <v>90</v>
      </c>
      <c r="D91" s="35">
        <v>28.38</v>
      </c>
      <c r="E91" s="35">
        <v>26.94</v>
      </c>
      <c r="F91" s="35">
        <v>95.8</v>
      </c>
      <c r="G91" s="34"/>
    </row>
    <row r="92" spans="1:7" ht="15" x14ac:dyDescent="0.2">
      <c r="A92" s="34" t="s">
        <v>100</v>
      </c>
      <c r="B92" s="37">
        <v>45920</v>
      </c>
      <c r="C92" s="35">
        <v>91</v>
      </c>
      <c r="D92" s="35">
        <v>28.05</v>
      </c>
      <c r="E92" s="35">
        <v>26.72</v>
      </c>
      <c r="F92" s="35">
        <v>88.4</v>
      </c>
      <c r="G92" s="34"/>
    </row>
    <row r="93" spans="1:7" ht="15" x14ac:dyDescent="0.2">
      <c r="A93" s="34" t="s">
        <v>100</v>
      </c>
      <c r="B93" s="37">
        <v>45921</v>
      </c>
      <c r="C93" s="35">
        <v>92</v>
      </c>
      <c r="D93" s="35">
        <v>28.21</v>
      </c>
      <c r="E93" s="35">
        <v>26.78</v>
      </c>
      <c r="F93" s="35">
        <v>95.5</v>
      </c>
      <c r="G93" s="34"/>
    </row>
    <row r="94" spans="1:7" ht="15" x14ac:dyDescent="0.2">
      <c r="A94" s="34" t="s">
        <v>100</v>
      </c>
      <c r="B94" s="37">
        <v>45922</v>
      </c>
      <c r="C94" s="35">
        <v>93</v>
      </c>
      <c r="D94" s="35">
        <v>28.08</v>
      </c>
      <c r="E94" s="35">
        <v>26.37</v>
      </c>
      <c r="F94" s="35">
        <v>114.3</v>
      </c>
      <c r="G94" s="34"/>
    </row>
    <row r="95" spans="1:7" ht="15" x14ac:dyDescent="0.2">
      <c r="A95" s="34" t="s">
        <v>100</v>
      </c>
      <c r="B95" s="37">
        <v>45923</v>
      </c>
      <c r="C95" s="35">
        <v>94</v>
      </c>
      <c r="D95" s="35">
        <v>28.34</v>
      </c>
      <c r="E95" s="35">
        <v>26.79</v>
      </c>
      <c r="F95" s="35">
        <v>103.2</v>
      </c>
      <c r="G95" s="34"/>
    </row>
    <row r="96" spans="1:7" ht="15" x14ac:dyDescent="0.2">
      <c r="A96" s="34" t="s">
        <v>100</v>
      </c>
      <c r="B96" s="37">
        <v>45924</v>
      </c>
      <c r="C96" s="35">
        <v>95</v>
      </c>
      <c r="D96" s="35">
        <v>28.37</v>
      </c>
      <c r="E96" s="35">
        <v>26.73</v>
      </c>
      <c r="F96" s="35">
        <v>109.5</v>
      </c>
      <c r="G96" s="34"/>
    </row>
    <row r="97" spans="1:7" ht="15" x14ac:dyDescent="0.2">
      <c r="A97" s="34" t="s">
        <v>100</v>
      </c>
      <c r="B97" s="37">
        <v>45925</v>
      </c>
      <c r="C97" s="35">
        <v>96</v>
      </c>
      <c r="D97" s="35">
        <v>28.59</v>
      </c>
      <c r="E97" s="35">
        <v>26.97</v>
      </c>
      <c r="F97" s="35">
        <v>107.7</v>
      </c>
      <c r="G97" s="34"/>
    </row>
    <row r="98" spans="1:7" ht="15" x14ac:dyDescent="0.2">
      <c r="A98" s="34" t="s">
        <v>100</v>
      </c>
      <c r="B98" s="37">
        <v>45926</v>
      </c>
      <c r="C98" s="35">
        <v>97</v>
      </c>
      <c r="D98" s="35">
        <v>28.28</v>
      </c>
      <c r="E98" s="35">
        <v>26.65</v>
      </c>
      <c r="F98" s="35">
        <v>108.8</v>
      </c>
      <c r="G98" s="34"/>
    </row>
    <row r="99" spans="1:7" ht="15" x14ac:dyDescent="0.2">
      <c r="A99" s="34" t="s">
        <v>100</v>
      </c>
      <c r="B99" s="37">
        <v>45927</v>
      </c>
      <c r="C99" s="35">
        <v>98</v>
      </c>
      <c r="D99" s="35">
        <v>28.21</v>
      </c>
      <c r="E99" s="35">
        <v>26.55</v>
      </c>
      <c r="F99" s="35">
        <v>111.1</v>
      </c>
      <c r="G99" s="34"/>
    </row>
    <row r="100" spans="1:7" ht="15" x14ac:dyDescent="0.2">
      <c r="A100" s="34" t="s">
        <v>100</v>
      </c>
      <c r="B100" s="37">
        <v>45928</v>
      </c>
      <c r="C100" s="35">
        <v>99</v>
      </c>
      <c r="D100" s="35">
        <v>28.41</v>
      </c>
      <c r="E100" s="35">
        <v>26.96</v>
      </c>
      <c r="F100" s="35">
        <v>96.8</v>
      </c>
      <c r="G100" s="34"/>
    </row>
    <row r="101" spans="1:7" ht="15" x14ac:dyDescent="0.2">
      <c r="A101" s="34" t="s">
        <v>100</v>
      </c>
      <c r="B101" s="37">
        <v>45929</v>
      </c>
      <c r="C101" s="35">
        <v>100</v>
      </c>
      <c r="D101" s="35">
        <v>27.97</v>
      </c>
      <c r="E101" s="35">
        <v>26.35</v>
      </c>
      <c r="F101" s="35">
        <v>108.1</v>
      </c>
      <c r="G101" s="34"/>
    </row>
    <row r="102" spans="1:7" ht="15" x14ac:dyDescent="0.2">
      <c r="A102" s="34" t="s">
        <v>100</v>
      </c>
      <c r="B102" s="37">
        <v>45930</v>
      </c>
      <c r="C102" s="35">
        <v>101</v>
      </c>
      <c r="D102" s="35">
        <v>28.53</v>
      </c>
      <c r="E102" s="35">
        <v>26.86</v>
      </c>
      <c r="F102" s="35">
        <v>111.7</v>
      </c>
      <c r="G102" s="34"/>
    </row>
    <row r="103" spans="1:7" ht="15" x14ac:dyDescent="0.2">
      <c r="A103" s="34" t="s">
        <v>100</v>
      </c>
      <c r="B103" s="37">
        <v>45931</v>
      </c>
      <c r="C103" s="35">
        <v>102</v>
      </c>
      <c r="D103" s="35">
        <v>28.25</v>
      </c>
      <c r="E103" s="35">
        <v>26.6</v>
      </c>
      <c r="F103" s="35">
        <v>110.2</v>
      </c>
      <c r="G103" s="34"/>
    </row>
    <row r="104" spans="1:7" ht="15" x14ac:dyDescent="0.2">
      <c r="A104" s="34" t="s">
        <v>100</v>
      </c>
      <c r="B104" s="37">
        <v>45932</v>
      </c>
      <c r="C104" s="35">
        <v>103</v>
      </c>
      <c r="D104" s="35">
        <v>28.42</v>
      </c>
      <c r="E104" s="35">
        <v>26.91</v>
      </c>
      <c r="F104" s="35">
        <v>100.6</v>
      </c>
      <c r="G104" s="34"/>
    </row>
    <row r="105" spans="1:7" ht="15" x14ac:dyDescent="0.2">
      <c r="A105" s="34" t="s">
        <v>100</v>
      </c>
      <c r="B105" s="37">
        <v>45933</v>
      </c>
      <c r="C105" s="35">
        <v>104</v>
      </c>
      <c r="D105" s="35">
        <v>28.33</v>
      </c>
      <c r="E105" s="35">
        <v>26.66</v>
      </c>
      <c r="F105" s="35">
        <v>111.3</v>
      </c>
      <c r="G105" s="34"/>
    </row>
    <row r="106" spans="1:7" ht="15" x14ac:dyDescent="0.2">
      <c r="A106" s="34" t="s">
        <v>100</v>
      </c>
      <c r="B106" s="37">
        <v>45934</v>
      </c>
      <c r="C106" s="35">
        <v>105</v>
      </c>
      <c r="D106" s="35">
        <v>28.54</v>
      </c>
      <c r="E106" s="35">
        <v>26.95</v>
      </c>
      <c r="F106" s="35">
        <v>105.6</v>
      </c>
      <c r="G106" s="34"/>
    </row>
    <row r="107" spans="1:7" ht="15" x14ac:dyDescent="0.2">
      <c r="A107" s="34" t="s">
        <v>100</v>
      </c>
      <c r="B107" s="37">
        <v>45935</v>
      </c>
      <c r="C107" s="35">
        <v>106</v>
      </c>
      <c r="D107" s="35">
        <v>28.53</v>
      </c>
      <c r="E107" s="35">
        <v>27</v>
      </c>
      <c r="F107" s="35">
        <v>102</v>
      </c>
      <c r="G107" s="34"/>
    </row>
    <row r="108" spans="1:7" ht="15" x14ac:dyDescent="0.2">
      <c r="A108" s="34" t="s">
        <v>100</v>
      </c>
      <c r="B108" s="37">
        <v>45936</v>
      </c>
      <c r="C108" s="35">
        <v>107</v>
      </c>
      <c r="D108" s="35">
        <v>28.51</v>
      </c>
      <c r="E108" s="35">
        <v>26.91</v>
      </c>
      <c r="F108" s="35">
        <v>106.7</v>
      </c>
      <c r="G108" s="34"/>
    </row>
    <row r="109" spans="1:7" ht="15" x14ac:dyDescent="0.2">
      <c r="A109" s="34" t="s">
        <v>100</v>
      </c>
      <c r="B109" s="37">
        <v>45937</v>
      </c>
      <c r="C109" s="35">
        <v>108</v>
      </c>
      <c r="D109" s="35">
        <v>28.48</v>
      </c>
      <c r="E109" s="35">
        <v>26.74</v>
      </c>
      <c r="F109" s="35">
        <v>115.5</v>
      </c>
      <c r="G109" s="34"/>
    </row>
    <row r="110" spans="1:7" ht="15" x14ac:dyDescent="0.2">
      <c r="A110" s="34" t="s">
        <v>100</v>
      </c>
      <c r="B110" s="37">
        <v>45938</v>
      </c>
      <c r="C110" s="35">
        <v>109</v>
      </c>
      <c r="D110" s="35">
        <v>28.48</v>
      </c>
      <c r="E110" s="35">
        <v>26.88</v>
      </c>
      <c r="F110" s="35">
        <v>106.4</v>
      </c>
      <c r="G110" s="34"/>
    </row>
    <row r="111" spans="1:7" ht="15" x14ac:dyDescent="0.2">
      <c r="A111" s="34" t="s">
        <v>100</v>
      </c>
      <c r="B111" s="37">
        <v>45939</v>
      </c>
      <c r="C111" s="35">
        <v>110</v>
      </c>
      <c r="D111" s="35">
        <v>28.31</v>
      </c>
      <c r="E111" s="35">
        <v>26.7</v>
      </c>
      <c r="F111" s="35">
        <v>107.2</v>
      </c>
      <c r="G111" s="34"/>
    </row>
    <row r="112" spans="1:7" ht="15" x14ac:dyDescent="0.2">
      <c r="A112" s="34" t="s">
        <v>100</v>
      </c>
      <c r="B112" s="37">
        <v>45940</v>
      </c>
      <c r="C112" s="35">
        <v>111</v>
      </c>
      <c r="D112" s="35">
        <v>28.51</v>
      </c>
      <c r="E112" s="35">
        <v>27.12</v>
      </c>
      <c r="F112" s="35">
        <v>92.6</v>
      </c>
      <c r="G112" s="34"/>
    </row>
    <row r="113" spans="1:7" ht="15" x14ac:dyDescent="0.2">
      <c r="A113" s="34" t="s">
        <v>100</v>
      </c>
      <c r="B113" s="37">
        <v>45941</v>
      </c>
      <c r="C113" s="35">
        <v>112</v>
      </c>
      <c r="D113" s="35">
        <v>28.43</v>
      </c>
      <c r="E113" s="35">
        <v>27</v>
      </c>
      <c r="F113" s="35">
        <v>95.2</v>
      </c>
      <c r="G113" s="34"/>
    </row>
    <row r="114" spans="1:7" ht="15" x14ac:dyDescent="0.2">
      <c r="A114" s="34" t="s">
        <v>100</v>
      </c>
      <c r="B114" s="37">
        <v>45942</v>
      </c>
      <c r="C114" s="35">
        <v>113</v>
      </c>
      <c r="D114" s="35">
        <v>29</v>
      </c>
      <c r="E114" s="35">
        <v>27.49</v>
      </c>
      <c r="F114" s="35">
        <v>100.3</v>
      </c>
      <c r="G114" s="34"/>
    </row>
    <row r="115" spans="1:7" ht="15" x14ac:dyDescent="0.2">
      <c r="A115" s="34" t="s">
        <v>100</v>
      </c>
      <c r="B115" s="37">
        <v>45943</v>
      </c>
      <c r="C115" s="35">
        <v>114</v>
      </c>
      <c r="D115" s="35">
        <v>28.72</v>
      </c>
      <c r="E115" s="35">
        <v>27.36</v>
      </c>
      <c r="F115" s="35">
        <v>90.3</v>
      </c>
      <c r="G115" s="34"/>
    </row>
    <row r="116" spans="1:7" ht="15" x14ac:dyDescent="0.2">
      <c r="A116" s="34" t="s">
        <v>100</v>
      </c>
      <c r="B116" s="37">
        <v>45944</v>
      </c>
      <c r="C116" s="35">
        <v>115</v>
      </c>
      <c r="D116" s="35">
        <v>28.68</v>
      </c>
      <c r="E116" s="35">
        <v>27.31</v>
      </c>
      <c r="F116" s="35">
        <v>91.3</v>
      </c>
      <c r="G116" s="34"/>
    </row>
    <row r="117" spans="1:7" ht="15" x14ac:dyDescent="0.2">
      <c r="A117" s="34" t="s">
        <v>100</v>
      </c>
      <c r="B117" s="37">
        <v>45945</v>
      </c>
      <c r="C117" s="35">
        <v>116</v>
      </c>
      <c r="D117" s="35">
        <v>29.03</v>
      </c>
      <c r="E117" s="35">
        <v>27.7</v>
      </c>
      <c r="F117" s="35">
        <v>88.7</v>
      </c>
      <c r="G117" s="34"/>
    </row>
    <row r="118" spans="1:7" ht="15" x14ac:dyDescent="0.2">
      <c r="A118" s="34" t="s">
        <v>100</v>
      </c>
      <c r="B118" s="37">
        <v>45946</v>
      </c>
      <c r="C118" s="35">
        <v>117</v>
      </c>
      <c r="D118" s="35">
        <v>29.13</v>
      </c>
      <c r="E118" s="35">
        <v>27.79</v>
      </c>
      <c r="F118" s="35">
        <v>89.3</v>
      </c>
      <c r="G118" s="34"/>
    </row>
    <row r="119" spans="1:7" ht="15" x14ac:dyDescent="0.2">
      <c r="A119" s="34" t="s">
        <v>100</v>
      </c>
      <c r="B119" s="37">
        <v>45947</v>
      </c>
      <c r="C119" s="35">
        <v>118</v>
      </c>
      <c r="D119" s="35">
        <v>29.27</v>
      </c>
      <c r="E119" s="35">
        <v>27.84</v>
      </c>
      <c r="F119" s="35">
        <v>95.5</v>
      </c>
      <c r="G119" s="34"/>
    </row>
    <row r="120" spans="1:7" ht="15" x14ac:dyDescent="0.2">
      <c r="A120" s="34" t="s">
        <v>100</v>
      </c>
      <c r="B120" s="37">
        <v>45948</v>
      </c>
      <c r="C120" s="35">
        <v>119</v>
      </c>
      <c r="D120" s="35">
        <v>28.88</v>
      </c>
      <c r="E120" s="35">
        <v>27.59</v>
      </c>
      <c r="F120" s="35">
        <v>85.5</v>
      </c>
      <c r="G120" s="34"/>
    </row>
    <row r="121" spans="1:7" ht="15" x14ac:dyDescent="0.2">
      <c r="A121" s="34" t="s">
        <v>100</v>
      </c>
      <c r="B121" s="37">
        <v>45949</v>
      </c>
      <c r="C121" s="35">
        <v>120</v>
      </c>
      <c r="D121" s="35">
        <v>28.93</v>
      </c>
      <c r="E121" s="35">
        <v>27.78</v>
      </c>
      <c r="F121" s="35">
        <v>77.099999999999994</v>
      </c>
      <c r="G121" s="34"/>
    </row>
    <row r="122" spans="1:7" ht="15" x14ac:dyDescent="0.2">
      <c r="A122" s="34" t="s">
        <v>98</v>
      </c>
      <c r="B122" s="37">
        <v>45829</v>
      </c>
      <c r="C122" s="35">
        <v>1</v>
      </c>
      <c r="D122" s="35">
        <v>28.98</v>
      </c>
      <c r="E122" s="35">
        <v>27.86</v>
      </c>
      <c r="F122" s="35">
        <v>74.599999999999994</v>
      </c>
      <c r="G122" s="34"/>
    </row>
    <row r="123" spans="1:7" ht="15" x14ac:dyDescent="0.2">
      <c r="A123" s="34" t="s">
        <v>98</v>
      </c>
      <c r="B123" s="37">
        <v>45830</v>
      </c>
      <c r="C123" s="35">
        <v>2</v>
      </c>
      <c r="D123" s="35">
        <v>29.03</v>
      </c>
      <c r="E123" s="35">
        <v>27.86</v>
      </c>
      <c r="F123" s="35">
        <v>77.900000000000006</v>
      </c>
      <c r="G123" s="34"/>
    </row>
    <row r="124" spans="1:7" ht="15" x14ac:dyDescent="0.2">
      <c r="A124" s="34" t="s">
        <v>98</v>
      </c>
      <c r="B124" s="37">
        <v>45831</v>
      </c>
      <c r="C124" s="35">
        <v>3</v>
      </c>
      <c r="D124" s="35">
        <v>28.95</v>
      </c>
      <c r="E124" s="35">
        <v>27.7</v>
      </c>
      <c r="F124" s="35">
        <v>83.2</v>
      </c>
      <c r="G124" s="34"/>
    </row>
    <row r="125" spans="1:7" ht="15" x14ac:dyDescent="0.2">
      <c r="A125" s="34" t="s">
        <v>98</v>
      </c>
      <c r="B125" s="37">
        <v>45832</v>
      </c>
      <c r="C125" s="35">
        <v>4</v>
      </c>
      <c r="D125" s="35">
        <v>29.04</v>
      </c>
      <c r="E125" s="35">
        <v>27.83</v>
      </c>
      <c r="F125" s="35">
        <v>80.400000000000006</v>
      </c>
      <c r="G125" s="34"/>
    </row>
    <row r="126" spans="1:7" ht="15" x14ac:dyDescent="0.2">
      <c r="A126" s="34" t="s">
        <v>98</v>
      </c>
      <c r="B126" s="37">
        <v>45833</v>
      </c>
      <c r="C126" s="35">
        <v>5</v>
      </c>
      <c r="D126" s="35">
        <v>29.22</v>
      </c>
      <c r="E126" s="35">
        <v>27.97</v>
      </c>
      <c r="F126" s="35">
        <v>83.3</v>
      </c>
      <c r="G126" s="34"/>
    </row>
    <row r="127" spans="1:7" ht="15" x14ac:dyDescent="0.2">
      <c r="A127" s="34" t="s">
        <v>98</v>
      </c>
      <c r="B127" s="37">
        <v>45834</v>
      </c>
      <c r="C127" s="35">
        <v>6</v>
      </c>
      <c r="D127" s="35">
        <v>29.11</v>
      </c>
      <c r="E127" s="35">
        <v>27.79</v>
      </c>
      <c r="F127" s="35">
        <v>88.4</v>
      </c>
      <c r="G127" s="34"/>
    </row>
    <row r="128" spans="1:7" ht="15" x14ac:dyDescent="0.2">
      <c r="A128" s="34" t="s">
        <v>98</v>
      </c>
      <c r="B128" s="37">
        <v>45835</v>
      </c>
      <c r="C128" s="35">
        <v>7</v>
      </c>
      <c r="D128" s="35">
        <v>29.19</v>
      </c>
      <c r="E128" s="35">
        <v>27.68</v>
      </c>
      <c r="F128" s="35">
        <v>100.3</v>
      </c>
      <c r="G128" s="34"/>
    </row>
    <row r="129" spans="1:7" ht="15" x14ac:dyDescent="0.2">
      <c r="A129" s="34" t="s">
        <v>98</v>
      </c>
      <c r="B129" s="37">
        <v>45836</v>
      </c>
      <c r="C129" s="35">
        <v>8</v>
      </c>
      <c r="D129" s="35">
        <v>29.56</v>
      </c>
      <c r="E129" s="35">
        <v>27.99</v>
      </c>
      <c r="F129" s="35">
        <v>105</v>
      </c>
      <c r="G129" s="34"/>
    </row>
    <row r="130" spans="1:7" ht="15" x14ac:dyDescent="0.2">
      <c r="A130" s="34" t="s">
        <v>98</v>
      </c>
      <c r="B130" s="37">
        <v>45837</v>
      </c>
      <c r="C130" s="35">
        <v>9</v>
      </c>
      <c r="D130" s="35">
        <v>29.14</v>
      </c>
      <c r="E130" s="35">
        <v>27.61</v>
      </c>
      <c r="F130" s="35">
        <v>101.9</v>
      </c>
      <c r="G130" s="34"/>
    </row>
    <row r="131" spans="1:7" ht="15" x14ac:dyDescent="0.2">
      <c r="A131" s="34" t="s">
        <v>98</v>
      </c>
      <c r="B131" s="37">
        <v>45838</v>
      </c>
      <c r="C131" s="35">
        <v>10</v>
      </c>
      <c r="D131" s="35">
        <v>29.51</v>
      </c>
      <c r="E131" s="35">
        <v>28.02</v>
      </c>
      <c r="F131" s="35">
        <v>99.5</v>
      </c>
      <c r="G131" s="34"/>
    </row>
    <row r="132" spans="1:7" ht="15" x14ac:dyDescent="0.2">
      <c r="A132" s="34" t="s">
        <v>98</v>
      </c>
      <c r="B132" s="37">
        <v>45839</v>
      </c>
      <c r="C132" s="35">
        <v>11</v>
      </c>
      <c r="D132" s="35">
        <v>29.6</v>
      </c>
      <c r="E132" s="35">
        <v>28.1</v>
      </c>
      <c r="F132" s="35">
        <v>100.3</v>
      </c>
      <c r="G132" s="34"/>
    </row>
    <row r="133" spans="1:7" ht="15" x14ac:dyDescent="0.2">
      <c r="A133" s="34" t="s">
        <v>98</v>
      </c>
      <c r="B133" s="37">
        <v>45840</v>
      </c>
      <c r="C133" s="35">
        <v>12</v>
      </c>
      <c r="D133" s="35">
        <v>29.51</v>
      </c>
      <c r="E133" s="35">
        <v>28.03</v>
      </c>
      <c r="F133" s="35">
        <v>98.4</v>
      </c>
      <c r="G133" s="34"/>
    </row>
    <row r="134" spans="1:7" ht="15" x14ac:dyDescent="0.2">
      <c r="A134" s="34" t="s">
        <v>98</v>
      </c>
      <c r="B134" s="37">
        <v>45841</v>
      </c>
      <c r="C134" s="35">
        <v>13</v>
      </c>
      <c r="D134" s="35">
        <v>29.39</v>
      </c>
      <c r="E134" s="35">
        <v>27.9</v>
      </c>
      <c r="F134" s="35">
        <v>99</v>
      </c>
      <c r="G134" s="34"/>
    </row>
    <row r="135" spans="1:7" ht="15" x14ac:dyDescent="0.2">
      <c r="A135" s="34" t="s">
        <v>98</v>
      </c>
      <c r="B135" s="37">
        <v>45842</v>
      </c>
      <c r="C135" s="35">
        <v>14</v>
      </c>
      <c r="D135" s="35">
        <v>29.71</v>
      </c>
      <c r="E135" s="35">
        <v>28.13</v>
      </c>
      <c r="F135" s="35">
        <v>105.3</v>
      </c>
      <c r="G135" s="34"/>
    </row>
    <row r="136" spans="1:7" ht="15" x14ac:dyDescent="0.2">
      <c r="A136" s="34" t="s">
        <v>98</v>
      </c>
      <c r="B136" s="37">
        <v>45843</v>
      </c>
      <c r="C136" s="35">
        <v>15</v>
      </c>
      <c r="D136" s="35">
        <v>29.29</v>
      </c>
      <c r="E136" s="35">
        <v>27.59</v>
      </c>
      <c r="F136" s="35">
        <v>112.7</v>
      </c>
      <c r="G136" s="34"/>
    </row>
    <row r="137" spans="1:7" ht="15" x14ac:dyDescent="0.2">
      <c r="A137" s="34" t="s">
        <v>98</v>
      </c>
      <c r="B137" s="37">
        <v>45844</v>
      </c>
      <c r="C137" s="35">
        <v>16</v>
      </c>
      <c r="D137" s="35">
        <v>30.02</v>
      </c>
      <c r="E137" s="35">
        <v>28.52</v>
      </c>
      <c r="F137" s="35">
        <v>99.7</v>
      </c>
      <c r="G137" s="34"/>
    </row>
    <row r="138" spans="1:7" ht="15" x14ac:dyDescent="0.2">
      <c r="A138" s="34" t="s">
        <v>98</v>
      </c>
      <c r="B138" s="37">
        <v>45845</v>
      </c>
      <c r="C138" s="35">
        <v>17</v>
      </c>
      <c r="D138" s="35">
        <v>29.35</v>
      </c>
      <c r="E138" s="35">
        <v>27.63</v>
      </c>
      <c r="F138" s="35">
        <v>114.8</v>
      </c>
      <c r="G138" s="34"/>
    </row>
    <row r="139" spans="1:7" ht="15" x14ac:dyDescent="0.2">
      <c r="A139" s="34" t="s">
        <v>98</v>
      </c>
      <c r="B139" s="37">
        <v>45846</v>
      </c>
      <c r="C139" s="35">
        <v>18</v>
      </c>
      <c r="D139" s="35">
        <v>29.58</v>
      </c>
      <c r="E139" s="35">
        <v>27.86</v>
      </c>
      <c r="F139" s="35">
        <v>114.6</v>
      </c>
      <c r="G139" s="34"/>
    </row>
    <row r="140" spans="1:7" ht="15" x14ac:dyDescent="0.2">
      <c r="A140" s="34" t="s">
        <v>98</v>
      </c>
      <c r="B140" s="37">
        <v>45847</v>
      </c>
      <c r="C140" s="35">
        <v>19</v>
      </c>
      <c r="D140" s="35">
        <v>29.57</v>
      </c>
      <c r="E140" s="35">
        <v>27.89</v>
      </c>
      <c r="F140" s="35">
        <v>111.7</v>
      </c>
      <c r="G140" s="34"/>
    </row>
    <row r="141" spans="1:7" ht="15" x14ac:dyDescent="0.2">
      <c r="A141" s="34" t="s">
        <v>98</v>
      </c>
      <c r="B141" s="37">
        <v>45848</v>
      </c>
      <c r="C141" s="35">
        <v>20</v>
      </c>
      <c r="D141" s="35">
        <v>29.43</v>
      </c>
      <c r="E141" s="35">
        <v>27.81</v>
      </c>
      <c r="F141" s="35">
        <v>108</v>
      </c>
      <c r="G141" s="34"/>
    </row>
    <row r="142" spans="1:7" ht="15" x14ac:dyDescent="0.2">
      <c r="A142" s="34" t="s">
        <v>98</v>
      </c>
      <c r="B142" s="37">
        <v>45849</v>
      </c>
      <c r="C142" s="35">
        <v>21</v>
      </c>
      <c r="D142" s="35">
        <v>30.07</v>
      </c>
      <c r="E142" s="35">
        <v>28.37</v>
      </c>
      <c r="F142" s="35">
        <v>112.9</v>
      </c>
      <c r="G142" s="34"/>
    </row>
    <row r="143" spans="1:7" ht="15" x14ac:dyDescent="0.2">
      <c r="A143" s="34" t="s">
        <v>98</v>
      </c>
      <c r="B143" s="37">
        <v>45850</v>
      </c>
      <c r="C143" s="35">
        <v>22</v>
      </c>
      <c r="D143" s="35">
        <v>29.89</v>
      </c>
      <c r="E143" s="35">
        <v>28.35</v>
      </c>
      <c r="F143" s="35">
        <v>102.7</v>
      </c>
      <c r="G143" s="34"/>
    </row>
    <row r="144" spans="1:7" ht="15" x14ac:dyDescent="0.2">
      <c r="A144" s="34" t="s">
        <v>98</v>
      </c>
      <c r="B144" s="37">
        <v>45851</v>
      </c>
      <c r="C144" s="35">
        <v>23</v>
      </c>
      <c r="D144" s="35">
        <v>30.04</v>
      </c>
      <c r="E144" s="35">
        <v>28.42</v>
      </c>
      <c r="F144" s="35">
        <v>107.9</v>
      </c>
      <c r="G144" s="34"/>
    </row>
    <row r="145" spans="1:7" ht="15" x14ac:dyDescent="0.2">
      <c r="A145" s="34" t="s">
        <v>98</v>
      </c>
      <c r="B145" s="37">
        <v>45852</v>
      </c>
      <c r="C145" s="35">
        <v>24</v>
      </c>
      <c r="D145" s="35">
        <v>29.69</v>
      </c>
      <c r="E145" s="35">
        <v>27.96</v>
      </c>
      <c r="F145" s="35">
        <v>115.3</v>
      </c>
      <c r="G145" s="34"/>
    </row>
    <row r="146" spans="1:7" ht="15" x14ac:dyDescent="0.2">
      <c r="A146" s="34" t="s">
        <v>98</v>
      </c>
      <c r="B146" s="37">
        <v>45853</v>
      </c>
      <c r="C146" s="35">
        <v>25</v>
      </c>
      <c r="D146" s="35">
        <v>29.58</v>
      </c>
      <c r="E146" s="35">
        <v>28.01</v>
      </c>
      <c r="F146" s="35">
        <v>104.7</v>
      </c>
      <c r="G146" s="34"/>
    </row>
    <row r="147" spans="1:7" ht="15" x14ac:dyDescent="0.2">
      <c r="A147" s="34" t="s">
        <v>98</v>
      </c>
      <c r="B147" s="37">
        <v>45854</v>
      </c>
      <c r="C147" s="35">
        <v>26</v>
      </c>
      <c r="D147" s="35">
        <v>29.57</v>
      </c>
      <c r="E147" s="35">
        <v>27.85</v>
      </c>
      <c r="F147" s="35">
        <v>114.7</v>
      </c>
      <c r="G147" s="34"/>
    </row>
    <row r="148" spans="1:7" ht="15" x14ac:dyDescent="0.2">
      <c r="A148" s="34" t="s">
        <v>98</v>
      </c>
      <c r="B148" s="37">
        <v>45855</v>
      </c>
      <c r="C148" s="35">
        <v>27</v>
      </c>
      <c r="D148" s="35">
        <v>30.03</v>
      </c>
      <c r="E148" s="35">
        <v>28.36</v>
      </c>
      <c r="F148" s="35">
        <v>111.2</v>
      </c>
      <c r="G148" s="34"/>
    </row>
    <row r="149" spans="1:7" ht="15" x14ac:dyDescent="0.2">
      <c r="A149" s="34" t="s">
        <v>98</v>
      </c>
      <c r="B149" s="37">
        <v>45856</v>
      </c>
      <c r="C149" s="35">
        <v>28</v>
      </c>
      <c r="D149" s="35">
        <v>29.77</v>
      </c>
      <c r="E149" s="35">
        <v>28.21</v>
      </c>
      <c r="F149" s="35">
        <v>104</v>
      </c>
      <c r="G149" s="34"/>
    </row>
    <row r="150" spans="1:7" ht="15" x14ac:dyDescent="0.2">
      <c r="A150" s="34" t="s">
        <v>98</v>
      </c>
      <c r="B150" s="37">
        <v>45857</v>
      </c>
      <c r="C150" s="35">
        <v>29</v>
      </c>
      <c r="D150" s="35">
        <v>29.87</v>
      </c>
      <c r="E150" s="35">
        <v>28.32</v>
      </c>
      <c r="F150" s="35">
        <v>103.1</v>
      </c>
      <c r="G150" s="34"/>
    </row>
    <row r="151" spans="1:7" ht="15" x14ac:dyDescent="0.2">
      <c r="A151" s="34" t="s">
        <v>98</v>
      </c>
      <c r="B151" s="37">
        <v>45858</v>
      </c>
      <c r="C151" s="35">
        <v>30</v>
      </c>
      <c r="D151" s="35">
        <v>29.28</v>
      </c>
      <c r="E151" s="35">
        <v>27.82</v>
      </c>
      <c r="F151" s="35">
        <v>97.6</v>
      </c>
      <c r="G151" s="34"/>
    </row>
    <row r="152" spans="1:7" ht="15" x14ac:dyDescent="0.2">
      <c r="A152" s="34" t="s">
        <v>98</v>
      </c>
      <c r="B152" s="37">
        <v>45859</v>
      </c>
      <c r="C152" s="35">
        <v>31</v>
      </c>
      <c r="D152" s="35">
        <v>29.76</v>
      </c>
      <c r="E152" s="35">
        <v>28.28</v>
      </c>
      <c r="F152" s="35">
        <v>99.1</v>
      </c>
      <c r="G152" s="34"/>
    </row>
    <row r="153" spans="1:7" ht="15" x14ac:dyDescent="0.2">
      <c r="A153" s="34" t="s">
        <v>98</v>
      </c>
      <c r="B153" s="37">
        <v>45860</v>
      </c>
      <c r="C153" s="35">
        <v>32</v>
      </c>
      <c r="D153" s="35">
        <v>29.89</v>
      </c>
      <c r="E153" s="35">
        <v>28.4</v>
      </c>
      <c r="F153" s="35">
        <v>99.3</v>
      </c>
      <c r="G153" s="34"/>
    </row>
    <row r="154" spans="1:7" ht="15" x14ac:dyDescent="0.2">
      <c r="A154" s="34" t="s">
        <v>98</v>
      </c>
      <c r="B154" s="37">
        <v>45861</v>
      </c>
      <c r="C154" s="35">
        <v>33</v>
      </c>
      <c r="D154" s="35">
        <v>29.97</v>
      </c>
      <c r="E154" s="35">
        <v>28.55</v>
      </c>
      <c r="F154" s="35">
        <v>94.6</v>
      </c>
      <c r="G154" s="34"/>
    </row>
    <row r="155" spans="1:7" ht="15" x14ac:dyDescent="0.2">
      <c r="A155" s="34" t="s">
        <v>98</v>
      </c>
      <c r="B155" s="37">
        <v>45862</v>
      </c>
      <c r="C155" s="35">
        <v>34</v>
      </c>
      <c r="D155" s="35">
        <v>29.47</v>
      </c>
      <c r="E155" s="35">
        <v>28.21</v>
      </c>
      <c r="F155" s="35">
        <v>84.1</v>
      </c>
      <c r="G155" s="34"/>
    </row>
    <row r="156" spans="1:7" ht="15" x14ac:dyDescent="0.2">
      <c r="A156" s="34" t="s">
        <v>98</v>
      </c>
      <c r="B156" s="37">
        <v>45863</v>
      </c>
      <c r="C156" s="35">
        <v>35</v>
      </c>
      <c r="D156" s="35">
        <v>29.76</v>
      </c>
      <c r="E156" s="35">
        <v>28.34</v>
      </c>
      <c r="F156" s="35">
        <v>94.6</v>
      </c>
      <c r="G156" s="34"/>
    </row>
    <row r="157" spans="1:7" ht="15" x14ac:dyDescent="0.2">
      <c r="A157" s="34" t="s">
        <v>98</v>
      </c>
      <c r="B157" s="37">
        <v>45864</v>
      </c>
      <c r="C157" s="35">
        <v>36</v>
      </c>
      <c r="D157" s="35">
        <v>29.72</v>
      </c>
      <c r="E157" s="35">
        <v>28.48</v>
      </c>
      <c r="F157" s="35">
        <v>82.9</v>
      </c>
      <c r="G157" s="34"/>
    </row>
    <row r="158" spans="1:7" ht="15" x14ac:dyDescent="0.2">
      <c r="A158" s="34" t="s">
        <v>98</v>
      </c>
      <c r="B158" s="37">
        <v>45865</v>
      </c>
      <c r="C158" s="35">
        <v>37</v>
      </c>
      <c r="D158" s="35">
        <v>29.93</v>
      </c>
      <c r="E158" s="35">
        <v>28.54</v>
      </c>
      <c r="F158" s="35">
        <v>92.2</v>
      </c>
      <c r="G158" s="34"/>
    </row>
    <row r="159" spans="1:7" ht="15" x14ac:dyDescent="0.2">
      <c r="A159" s="34" t="s">
        <v>98</v>
      </c>
      <c r="B159" s="37">
        <v>45866</v>
      </c>
      <c r="C159" s="35">
        <v>38</v>
      </c>
      <c r="D159" s="35">
        <v>29.56</v>
      </c>
      <c r="E159" s="35">
        <v>28.27</v>
      </c>
      <c r="F159" s="35">
        <v>85.7</v>
      </c>
      <c r="G159" s="34"/>
    </row>
    <row r="160" spans="1:7" ht="15" x14ac:dyDescent="0.2">
      <c r="A160" s="34" t="s">
        <v>98</v>
      </c>
      <c r="B160" s="37">
        <v>45867</v>
      </c>
      <c r="C160" s="35">
        <v>39</v>
      </c>
      <c r="D160" s="35">
        <v>29.53</v>
      </c>
      <c r="E160" s="35">
        <v>28.32</v>
      </c>
      <c r="F160" s="35">
        <v>80.7</v>
      </c>
      <c r="G160" s="34"/>
    </row>
    <row r="161" spans="1:7" ht="15" x14ac:dyDescent="0.2">
      <c r="A161" s="34" t="s">
        <v>98</v>
      </c>
      <c r="B161" s="37">
        <v>45868</v>
      </c>
      <c r="C161" s="35">
        <v>40</v>
      </c>
      <c r="D161" s="35">
        <v>29.72</v>
      </c>
      <c r="E161" s="35">
        <v>28.63</v>
      </c>
      <c r="F161" s="35">
        <v>73.099999999999994</v>
      </c>
      <c r="G161" s="34"/>
    </row>
    <row r="162" spans="1:7" ht="15" x14ac:dyDescent="0.2">
      <c r="A162" s="34" t="s">
        <v>98</v>
      </c>
      <c r="B162" s="37">
        <v>45869</v>
      </c>
      <c r="C162" s="35">
        <v>41</v>
      </c>
      <c r="D162" s="35">
        <v>29.37</v>
      </c>
      <c r="E162" s="35">
        <v>28.21</v>
      </c>
      <c r="F162" s="35">
        <v>77.400000000000006</v>
      </c>
      <c r="G162" s="34"/>
    </row>
    <row r="163" spans="1:7" ht="15" x14ac:dyDescent="0.2">
      <c r="A163" s="34" t="s">
        <v>98</v>
      </c>
      <c r="B163" s="37">
        <v>45870</v>
      </c>
      <c r="C163" s="35">
        <v>42</v>
      </c>
      <c r="D163" s="35">
        <v>29.74</v>
      </c>
      <c r="E163" s="35">
        <v>28.71</v>
      </c>
      <c r="F163" s="35">
        <v>68.900000000000006</v>
      </c>
      <c r="G163" s="34"/>
    </row>
    <row r="164" spans="1:7" ht="15" x14ac:dyDescent="0.2">
      <c r="A164" s="34" t="s">
        <v>98</v>
      </c>
      <c r="B164" s="37">
        <v>45871</v>
      </c>
      <c r="C164" s="35">
        <v>43</v>
      </c>
      <c r="D164" s="35">
        <v>29.55</v>
      </c>
      <c r="E164" s="35">
        <v>28.32</v>
      </c>
      <c r="F164" s="35">
        <v>81.900000000000006</v>
      </c>
      <c r="G164" s="34"/>
    </row>
    <row r="165" spans="1:7" ht="15" x14ac:dyDescent="0.2">
      <c r="A165" s="34" t="s">
        <v>98</v>
      </c>
      <c r="B165" s="37">
        <v>45872</v>
      </c>
      <c r="C165" s="35">
        <v>44</v>
      </c>
      <c r="D165" s="35">
        <v>29.55</v>
      </c>
      <c r="E165" s="35">
        <v>28.43</v>
      </c>
      <c r="F165" s="35">
        <v>74.5</v>
      </c>
      <c r="G165" s="34"/>
    </row>
    <row r="166" spans="1:7" ht="15" x14ac:dyDescent="0.2">
      <c r="A166" s="34" t="s">
        <v>98</v>
      </c>
      <c r="B166" s="37">
        <v>45873</v>
      </c>
      <c r="C166" s="35">
        <v>45</v>
      </c>
      <c r="D166" s="35">
        <v>29.54</v>
      </c>
      <c r="E166" s="35">
        <v>28.42</v>
      </c>
      <c r="F166" s="35">
        <v>74.5</v>
      </c>
      <c r="G166" s="34"/>
    </row>
    <row r="167" spans="1:7" ht="15" x14ac:dyDescent="0.2">
      <c r="A167" s="34" t="s">
        <v>98</v>
      </c>
      <c r="B167" s="37">
        <v>45874</v>
      </c>
      <c r="C167" s="35">
        <v>46</v>
      </c>
      <c r="D167" s="35">
        <v>29.74</v>
      </c>
      <c r="E167" s="35">
        <v>28.66</v>
      </c>
      <c r="F167" s="35">
        <v>72.5</v>
      </c>
      <c r="G167" s="34"/>
    </row>
    <row r="168" spans="1:7" ht="15" x14ac:dyDescent="0.2">
      <c r="A168" s="34" t="s">
        <v>98</v>
      </c>
      <c r="B168" s="37">
        <v>45875</v>
      </c>
      <c r="C168" s="35">
        <v>47</v>
      </c>
      <c r="D168" s="35">
        <v>29.69</v>
      </c>
      <c r="E168" s="35">
        <v>28.7</v>
      </c>
      <c r="F168" s="35">
        <v>66</v>
      </c>
      <c r="G168" s="34"/>
    </row>
    <row r="169" spans="1:7" ht="15" x14ac:dyDescent="0.2">
      <c r="A169" s="34" t="s">
        <v>98</v>
      </c>
      <c r="B169" s="37">
        <v>45876</v>
      </c>
      <c r="C169" s="35">
        <v>48</v>
      </c>
      <c r="D169" s="35">
        <v>29.72</v>
      </c>
      <c r="E169" s="35">
        <v>28.63</v>
      </c>
      <c r="F169" s="35">
        <v>72.099999999999994</v>
      </c>
      <c r="G169" s="34"/>
    </row>
    <row r="170" spans="1:7" ht="15" x14ac:dyDescent="0.2">
      <c r="A170" s="34" t="s">
        <v>98</v>
      </c>
      <c r="B170" s="37">
        <v>45877</v>
      </c>
      <c r="C170" s="35">
        <v>49</v>
      </c>
      <c r="D170" s="35">
        <v>29.74</v>
      </c>
      <c r="E170" s="35">
        <v>28.75</v>
      </c>
      <c r="F170" s="35">
        <v>65.900000000000006</v>
      </c>
      <c r="G170" s="34"/>
    </row>
    <row r="171" spans="1:7" ht="15" x14ac:dyDescent="0.2">
      <c r="A171" s="34" t="s">
        <v>98</v>
      </c>
      <c r="B171" s="37">
        <v>45878</v>
      </c>
      <c r="C171" s="35">
        <v>50</v>
      </c>
      <c r="D171" s="35">
        <v>29.2</v>
      </c>
      <c r="E171" s="35">
        <v>28.36</v>
      </c>
      <c r="F171" s="35">
        <v>56</v>
      </c>
      <c r="G171" s="34"/>
    </row>
    <row r="172" spans="1:7" ht="15" x14ac:dyDescent="0.2">
      <c r="A172" s="34" t="s">
        <v>98</v>
      </c>
      <c r="B172" s="37">
        <v>45879</v>
      </c>
      <c r="C172" s="35">
        <v>51</v>
      </c>
      <c r="D172" s="35">
        <v>29.33</v>
      </c>
      <c r="E172" s="35">
        <v>28.63</v>
      </c>
      <c r="F172" s="35">
        <v>46.7</v>
      </c>
      <c r="G172" s="34"/>
    </row>
    <row r="173" spans="1:7" ht="15" x14ac:dyDescent="0.2">
      <c r="A173" s="34" t="s">
        <v>98</v>
      </c>
      <c r="B173" s="37">
        <v>45880</v>
      </c>
      <c r="C173" s="35">
        <v>52</v>
      </c>
      <c r="D173" s="35">
        <v>29.25</v>
      </c>
      <c r="E173" s="35">
        <v>28.4</v>
      </c>
      <c r="F173" s="35">
        <v>57.1</v>
      </c>
      <c r="G173" s="34"/>
    </row>
    <row r="174" spans="1:7" ht="15" x14ac:dyDescent="0.2">
      <c r="A174" s="34" t="s">
        <v>98</v>
      </c>
      <c r="B174" s="37">
        <v>45881</v>
      </c>
      <c r="C174" s="35">
        <v>53</v>
      </c>
      <c r="D174" s="35">
        <v>29.46</v>
      </c>
      <c r="E174" s="35">
        <v>28.67</v>
      </c>
      <c r="F174" s="35">
        <v>52.9</v>
      </c>
      <c r="G174" s="34"/>
    </row>
    <row r="175" spans="1:7" ht="15" x14ac:dyDescent="0.2">
      <c r="A175" s="34" t="s">
        <v>98</v>
      </c>
      <c r="B175" s="37">
        <v>45882</v>
      </c>
      <c r="C175" s="35">
        <v>54</v>
      </c>
      <c r="D175" s="35">
        <v>29.34</v>
      </c>
      <c r="E175" s="35">
        <v>28.56</v>
      </c>
      <c r="F175" s="35">
        <v>51.8</v>
      </c>
      <c r="G175" s="34"/>
    </row>
    <row r="176" spans="1:7" ht="15" x14ac:dyDescent="0.2">
      <c r="A176" s="34" t="s">
        <v>98</v>
      </c>
      <c r="B176" s="37">
        <v>45883</v>
      </c>
      <c r="C176" s="35">
        <v>55</v>
      </c>
      <c r="D176" s="35">
        <v>29.16</v>
      </c>
      <c r="E176" s="35">
        <v>28.34</v>
      </c>
      <c r="F176" s="35">
        <v>54.4</v>
      </c>
      <c r="G176" s="34"/>
    </row>
    <row r="177" spans="1:7" ht="15" x14ac:dyDescent="0.2">
      <c r="A177" s="34" t="s">
        <v>98</v>
      </c>
      <c r="B177" s="37">
        <v>45884</v>
      </c>
      <c r="C177" s="35">
        <v>56</v>
      </c>
      <c r="D177" s="35">
        <v>29.63</v>
      </c>
      <c r="E177" s="35">
        <v>28.9</v>
      </c>
      <c r="F177" s="35">
        <v>49.2</v>
      </c>
      <c r="G177" s="34"/>
    </row>
    <row r="178" spans="1:7" ht="15" x14ac:dyDescent="0.2">
      <c r="A178" s="34" t="s">
        <v>98</v>
      </c>
      <c r="B178" s="37">
        <v>45885</v>
      </c>
      <c r="C178" s="35">
        <v>57</v>
      </c>
      <c r="D178" s="35">
        <v>29.1</v>
      </c>
      <c r="E178" s="35">
        <v>28.26</v>
      </c>
      <c r="F178" s="35">
        <v>55.9</v>
      </c>
      <c r="G178" s="34"/>
    </row>
    <row r="179" spans="1:7" ht="15" x14ac:dyDescent="0.2">
      <c r="A179" s="34" t="s">
        <v>98</v>
      </c>
      <c r="B179" s="37">
        <v>45886</v>
      </c>
      <c r="C179" s="35">
        <v>58</v>
      </c>
      <c r="D179" s="35">
        <v>29.02</v>
      </c>
      <c r="E179" s="35">
        <v>28.25</v>
      </c>
      <c r="F179" s="35">
        <v>51.3</v>
      </c>
      <c r="G179" s="34"/>
    </row>
    <row r="180" spans="1:7" ht="15" x14ac:dyDescent="0.2">
      <c r="A180" s="34" t="s">
        <v>98</v>
      </c>
      <c r="B180" s="37">
        <v>45887</v>
      </c>
      <c r="C180" s="35">
        <v>59</v>
      </c>
      <c r="D180" s="35">
        <v>28.99</v>
      </c>
      <c r="E180" s="35">
        <v>28.23</v>
      </c>
      <c r="F180" s="35">
        <v>50.6</v>
      </c>
      <c r="G180" s="34"/>
    </row>
    <row r="181" spans="1:7" ht="15" x14ac:dyDescent="0.2">
      <c r="A181" s="34" t="s">
        <v>98</v>
      </c>
      <c r="B181" s="37">
        <v>45888</v>
      </c>
      <c r="C181" s="35">
        <v>60</v>
      </c>
      <c r="D181" s="35">
        <v>28.76</v>
      </c>
      <c r="E181" s="35">
        <v>28.02</v>
      </c>
      <c r="F181" s="35">
        <v>49.7</v>
      </c>
      <c r="G181" s="34"/>
    </row>
    <row r="182" spans="1:7" ht="15" x14ac:dyDescent="0.2">
      <c r="A182" s="34" t="s">
        <v>98</v>
      </c>
      <c r="B182" s="37">
        <v>45889</v>
      </c>
      <c r="C182" s="35">
        <v>61</v>
      </c>
      <c r="D182" s="35">
        <v>29.07</v>
      </c>
      <c r="E182" s="35">
        <v>28.33</v>
      </c>
      <c r="F182" s="35">
        <v>49.7</v>
      </c>
      <c r="G182" s="34"/>
    </row>
    <row r="183" spans="1:7" ht="15" x14ac:dyDescent="0.2">
      <c r="A183" s="34" t="s">
        <v>98</v>
      </c>
      <c r="B183" s="37">
        <v>45890</v>
      </c>
      <c r="C183" s="35">
        <v>62</v>
      </c>
      <c r="D183" s="35">
        <v>28.83</v>
      </c>
      <c r="E183" s="35">
        <v>28.12</v>
      </c>
      <c r="F183" s="35">
        <v>47.4</v>
      </c>
      <c r="G183" s="34"/>
    </row>
    <row r="184" spans="1:7" ht="15" x14ac:dyDescent="0.2">
      <c r="A184" s="34" t="s">
        <v>98</v>
      </c>
      <c r="B184" s="37">
        <v>45891</v>
      </c>
      <c r="C184" s="35">
        <v>63</v>
      </c>
      <c r="D184" s="35">
        <v>28.9</v>
      </c>
      <c r="E184" s="35">
        <v>28.12</v>
      </c>
      <c r="F184" s="35">
        <v>52.1</v>
      </c>
      <c r="G184" s="34"/>
    </row>
    <row r="185" spans="1:7" ht="15" x14ac:dyDescent="0.2">
      <c r="A185" s="34" t="s">
        <v>98</v>
      </c>
      <c r="B185" s="37">
        <v>45892</v>
      </c>
      <c r="C185" s="35">
        <v>64</v>
      </c>
      <c r="D185" s="35">
        <v>28.88</v>
      </c>
      <c r="E185" s="35">
        <v>28.06</v>
      </c>
      <c r="F185" s="35">
        <v>54.8</v>
      </c>
      <c r="G185" s="34"/>
    </row>
    <row r="186" spans="1:7" ht="15" x14ac:dyDescent="0.2">
      <c r="A186" s="34" t="s">
        <v>98</v>
      </c>
      <c r="B186" s="37">
        <v>45893</v>
      </c>
      <c r="C186" s="35">
        <v>65</v>
      </c>
      <c r="D186" s="35">
        <v>28.95</v>
      </c>
      <c r="E186" s="35">
        <v>28.14</v>
      </c>
      <c r="F186" s="35">
        <v>54.5</v>
      </c>
      <c r="G186" s="34"/>
    </row>
    <row r="187" spans="1:7" ht="15" x14ac:dyDescent="0.2">
      <c r="A187" s="34" t="s">
        <v>98</v>
      </c>
      <c r="B187" s="37">
        <v>45894</v>
      </c>
      <c r="C187" s="35">
        <v>66</v>
      </c>
      <c r="D187" s="35">
        <v>28.85</v>
      </c>
      <c r="E187" s="35">
        <v>27.98</v>
      </c>
      <c r="F187" s="35">
        <v>57.9</v>
      </c>
      <c r="G187" s="34"/>
    </row>
    <row r="188" spans="1:7" ht="15" x14ac:dyDescent="0.2">
      <c r="A188" s="34" t="s">
        <v>98</v>
      </c>
      <c r="B188" s="37">
        <v>45895</v>
      </c>
      <c r="C188" s="35">
        <v>67</v>
      </c>
      <c r="D188" s="35">
        <v>28.78</v>
      </c>
      <c r="E188" s="35">
        <v>27.93</v>
      </c>
      <c r="F188" s="35">
        <v>56.5</v>
      </c>
      <c r="G188" s="34"/>
    </row>
    <row r="189" spans="1:7" ht="15" x14ac:dyDescent="0.2">
      <c r="A189" s="34" t="s">
        <v>98</v>
      </c>
      <c r="B189" s="37">
        <v>45896</v>
      </c>
      <c r="C189" s="35">
        <v>68</v>
      </c>
      <c r="D189" s="35">
        <v>28.57</v>
      </c>
      <c r="E189" s="35">
        <v>27.81</v>
      </c>
      <c r="F189" s="35">
        <v>50.8</v>
      </c>
      <c r="G189" s="34"/>
    </row>
    <row r="190" spans="1:7" ht="15" x14ac:dyDescent="0.2">
      <c r="A190" s="34" t="s">
        <v>98</v>
      </c>
      <c r="B190" s="37">
        <v>45897</v>
      </c>
      <c r="C190" s="35">
        <v>69</v>
      </c>
      <c r="D190" s="35">
        <v>28.59</v>
      </c>
      <c r="E190" s="35">
        <v>27.63</v>
      </c>
      <c r="F190" s="35">
        <v>64</v>
      </c>
      <c r="G190" s="34"/>
    </row>
    <row r="191" spans="1:7" ht="15" x14ac:dyDescent="0.2">
      <c r="A191" s="34" t="s">
        <v>98</v>
      </c>
      <c r="B191" s="37">
        <v>45898</v>
      </c>
      <c r="C191" s="35">
        <v>70</v>
      </c>
      <c r="D191" s="35">
        <v>28.58</v>
      </c>
      <c r="E191" s="35">
        <v>27.63</v>
      </c>
      <c r="F191" s="35">
        <v>63.9</v>
      </c>
      <c r="G191" s="34"/>
    </row>
    <row r="192" spans="1:7" ht="15" x14ac:dyDescent="0.2">
      <c r="A192" s="34" t="s">
        <v>98</v>
      </c>
      <c r="B192" s="37">
        <v>45899</v>
      </c>
      <c r="C192" s="35">
        <v>71</v>
      </c>
      <c r="D192" s="35">
        <v>28.68</v>
      </c>
      <c r="E192" s="35">
        <v>27.75</v>
      </c>
      <c r="F192" s="35">
        <v>62.2</v>
      </c>
      <c r="G192" s="34"/>
    </row>
    <row r="193" spans="1:7" ht="15" x14ac:dyDescent="0.2">
      <c r="A193" s="34" t="s">
        <v>98</v>
      </c>
      <c r="B193" s="37">
        <v>45900</v>
      </c>
      <c r="C193" s="35">
        <v>72</v>
      </c>
      <c r="D193" s="35">
        <v>28.37</v>
      </c>
      <c r="E193" s="35">
        <v>27.51</v>
      </c>
      <c r="F193" s="35">
        <v>57.9</v>
      </c>
      <c r="G193" s="34"/>
    </row>
    <row r="194" spans="1:7" ht="15" x14ac:dyDescent="0.2">
      <c r="A194" s="34" t="s">
        <v>98</v>
      </c>
      <c r="B194" s="37">
        <v>45901</v>
      </c>
      <c r="C194" s="35">
        <v>73</v>
      </c>
      <c r="D194" s="35">
        <v>28.51</v>
      </c>
      <c r="E194" s="35">
        <v>27.51</v>
      </c>
      <c r="F194" s="35">
        <v>66.900000000000006</v>
      </c>
      <c r="G194" s="34"/>
    </row>
    <row r="195" spans="1:7" ht="15" x14ac:dyDescent="0.2">
      <c r="A195" s="34" t="s">
        <v>98</v>
      </c>
      <c r="B195" s="37">
        <v>45902</v>
      </c>
      <c r="C195" s="35">
        <v>74</v>
      </c>
      <c r="D195" s="35">
        <v>28.57</v>
      </c>
      <c r="E195" s="35">
        <v>27.54</v>
      </c>
      <c r="F195" s="35">
        <v>68.099999999999994</v>
      </c>
      <c r="G195" s="34"/>
    </row>
    <row r="196" spans="1:7" ht="15" x14ac:dyDescent="0.2">
      <c r="A196" s="34" t="s">
        <v>98</v>
      </c>
      <c r="B196" s="37">
        <v>45903</v>
      </c>
      <c r="C196" s="35">
        <v>75</v>
      </c>
      <c r="D196" s="35">
        <v>28.72</v>
      </c>
      <c r="E196" s="35">
        <v>27.77</v>
      </c>
      <c r="F196" s="35">
        <v>63.5</v>
      </c>
      <c r="G196" s="34"/>
    </row>
    <row r="197" spans="1:7" ht="15" x14ac:dyDescent="0.2">
      <c r="A197" s="34" t="s">
        <v>98</v>
      </c>
      <c r="B197" s="37">
        <v>45904</v>
      </c>
      <c r="C197" s="35">
        <v>76</v>
      </c>
      <c r="D197" s="35">
        <v>28.49</v>
      </c>
      <c r="E197" s="35">
        <v>27.4</v>
      </c>
      <c r="F197" s="35">
        <v>73.099999999999994</v>
      </c>
      <c r="G197" s="34"/>
    </row>
    <row r="198" spans="1:7" ht="15" x14ac:dyDescent="0.2">
      <c r="A198" s="34" t="s">
        <v>98</v>
      </c>
      <c r="B198" s="37">
        <v>45905</v>
      </c>
      <c r="C198" s="35">
        <v>77</v>
      </c>
      <c r="D198" s="35">
        <v>28.51</v>
      </c>
      <c r="E198" s="35">
        <v>27.42</v>
      </c>
      <c r="F198" s="35">
        <v>72.2</v>
      </c>
      <c r="G198" s="34"/>
    </row>
    <row r="199" spans="1:7" ht="15" x14ac:dyDescent="0.2">
      <c r="A199" s="34" t="s">
        <v>98</v>
      </c>
      <c r="B199" s="37">
        <v>45906</v>
      </c>
      <c r="C199" s="35">
        <v>78</v>
      </c>
      <c r="D199" s="35">
        <v>28.46</v>
      </c>
      <c r="E199" s="35">
        <v>27.23</v>
      </c>
      <c r="F199" s="35">
        <v>82.3</v>
      </c>
      <c r="G199" s="34"/>
    </row>
    <row r="200" spans="1:7" ht="15" x14ac:dyDescent="0.2">
      <c r="A200" s="34" t="s">
        <v>98</v>
      </c>
      <c r="B200" s="37">
        <v>45907</v>
      </c>
      <c r="C200" s="35">
        <v>79</v>
      </c>
      <c r="D200" s="35">
        <v>28.38</v>
      </c>
      <c r="E200" s="35">
        <v>27.15</v>
      </c>
      <c r="F200" s="35">
        <v>82</v>
      </c>
      <c r="G200" s="34"/>
    </row>
    <row r="201" spans="1:7" ht="15" x14ac:dyDescent="0.2">
      <c r="A201" s="34" t="s">
        <v>98</v>
      </c>
      <c r="B201" s="37">
        <v>45908</v>
      </c>
      <c r="C201" s="35">
        <v>80</v>
      </c>
      <c r="D201" s="35">
        <v>27.85</v>
      </c>
      <c r="E201" s="35">
        <v>26.64</v>
      </c>
      <c r="F201" s="35">
        <v>80.900000000000006</v>
      </c>
      <c r="G201" s="34"/>
    </row>
    <row r="202" spans="1:7" ht="15" x14ac:dyDescent="0.2">
      <c r="A202" s="34" t="s">
        <v>98</v>
      </c>
      <c r="B202" s="37">
        <v>45909</v>
      </c>
      <c r="C202" s="35">
        <v>81</v>
      </c>
      <c r="D202" s="35">
        <v>28.77</v>
      </c>
      <c r="E202" s="35">
        <v>27.65</v>
      </c>
      <c r="F202" s="35">
        <v>75.099999999999994</v>
      </c>
      <c r="G202" s="34"/>
    </row>
    <row r="203" spans="1:7" ht="15" x14ac:dyDescent="0.2">
      <c r="A203" s="34" t="s">
        <v>98</v>
      </c>
      <c r="B203" s="37">
        <v>45910</v>
      </c>
      <c r="C203" s="35">
        <v>82</v>
      </c>
      <c r="D203" s="35">
        <v>28.18</v>
      </c>
      <c r="E203" s="35">
        <v>27</v>
      </c>
      <c r="F203" s="35">
        <v>78.400000000000006</v>
      </c>
      <c r="G203" s="34"/>
    </row>
    <row r="204" spans="1:7" ht="15" x14ac:dyDescent="0.2">
      <c r="A204" s="34" t="s">
        <v>98</v>
      </c>
      <c r="B204" s="37">
        <v>45911</v>
      </c>
      <c r="C204" s="35">
        <v>83</v>
      </c>
      <c r="D204" s="35">
        <v>28.2</v>
      </c>
      <c r="E204" s="35">
        <v>26.81</v>
      </c>
      <c r="F204" s="35">
        <v>92.8</v>
      </c>
      <c r="G204" s="34"/>
    </row>
    <row r="205" spans="1:7" ht="15" x14ac:dyDescent="0.2">
      <c r="A205" s="34" t="s">
        <v>98</v>
      </c>
      <c r="B205" s="37">
        <v>45912</v>
      </c>
      <c r="C205" s="35">
        <v>84</v>
      </c>
      <c r="D205" s="35">
        <v>28.42</v>
      </c>
      <c r="E205" s="35">
        <v>27.13</v>
      </c>
      <c r="F205" s="35">
        <v>86</v>
      </c>
      <c r="G205" s="34"/>
    </row>
    <row r="206" spans="1:7" ht="15" x14ac:dyDescent="0.2">
      <c r="A206" s="34" t="s">
        <v>98</v>
      </c>
      <c r="B206" s="37">
        <v>45913</v>
      </c>
      <c r="C206" s="35">
        <v>85</v>
      </c>
      <c r="D206" s="35">
        <v>28.28</v>
      </c>
      <c r="E206" s="35">
        <v>26.95</v>
      </c>
      <c r="F206" s="35">
        <v>88.9</v>
      </c>
      <c r="G206" s="34"/>
    </row>
    <row r="207" spans="1:7" ht="15" x14ac:dyDescent="0.2">
      <c r="A207" s="34" t="s">
        <v>98</v>
      </c>
      <c r="B207" s="37">
        <v>45914</v>
      </c>
      <c r="C207" s="35">
        <v>86</v>
      </c>
      <c r="D207" s="35">
        <v>28.37</v>
      </c>
      <c r="E207" s="35">
        <v>26.89</v>
      </c>
      <c r="F207" s="35">
        <v>98.2</v>
      </c>
      <c r="G207" s="34"/>
    </row>
    <row r="208" spans="1:7" ht="15" x14ac:dyDescent="0.2">
      <c r="A208" s="34" t="s">
        <v>98</v>
      </c>
      <c r="B208" s="37">
        <v>45915</v>
      </c>
      <c r="C208" s="35">
        <v>87</v>
      </c>
      <c r="D208" s="35">
        <v>28.31</v>
      </c>
      <c r="E208" s="35">
        <v>26.88</v>
      </c>
      <c r="F208" s="35">
        <v>95.5</v>
      </c>
      <c r="G208" s="34"/>
    </row>
    <row r="209" spans="1:7" ht="15" x14ac:dyDescent="0.2">
      <c r="A209" s="34" t="s">
        <v>98</v>
      </c>
      <c r="B209" s="37">
        <v>45916</v>
      </c>
      <c r="C209" s="35">
        <v>88</v>
      </c>
      <c r="D209" s="35">
        <v>28.36</v>
      </c>
      <c r="E209" s="35">
        <v>26.9</v>
      </c>
      <c r="F209" s="35">
        <v>97.6</v>
      </c>
      <c r="G209" s="34"/>
    </row>
    <row r="210" spans="1:7" ht="15" x14ac:dyDescent="0.2">
      <c r="A210" s="34" t="s">
        <v>98</v>
      </c>
      <c r="B210" s="37">
        <v>45917</v>
      </c>
      <c r="C210" s="35">
        <v>89</v>
      </c>
      <c r="D210" s="35">
        <v>28.1</v>
      </c>
      <c r="E210" s="35">
        <v>26.61</v>
      </c>
      <c r="F210" s="35">
        <v>99.3</v>
      </c>
      <c r="G210" s="34"/>
    </row>
    <row r="211" spans="1:7" ht="15" x14ac:dyDescent="0.2">
      <c r="A211" s="34" t="s">
        <v>98</v>
      </c>
      <c r="B211" s="37">
        <v>45918</v>
      </c>
      <c r="C211" s="35">
        <v>90</v>
      </c>
      <c r="D211" s="35">
        <v>28.15</v>
      </c>
      <c r="E211" s="35">
        <v>26.6</v>
      </c>
      <c r="F211" s="35">
        <v>102.9</v>
      </c>
      <c r="G211" s="34"/>
    </row>
    <row r="212" spans="1:7" ht="15" x14ac:dyDescent="0.2">
      <c r="A212" s="34" t="s">
        <v>98</v>
      </c>
      <c r="B212" s="37">
        <v>45919</v>
      </c>
      <c r="C212" s="35">
        <v>91</v>
      </c>
      <c r="D212" s="35">
        <v>28.21</v>
      </c>
      <c r="E212" s="35">
        <v>26.77</v>
      </c>
      <c r="F212" s="35">
        <v>96.3</v>
      </c>
      <c r="G212" s="34"/>
    </row>
    <row r="213" spans="1:7" ht="15" x14ac:dyDescent="0.2">
      <c r="A213" s="34" t="s">
        <v>98</v>
      </c>
      <c r="B213" s="37">
        <v>45920</v>
      </c>
      <c r="C213" s="35">
        <v>92</v>
      </c>
      <c r="D213" s="35">
        <v>28.3</v>
      </c>
      <c r="E213" s="35">
        <v>26.83</v>
      </c>
      <c r="F213" s="35">
        <v>98.5</v>
      </c>
      <c r="G213" s="34"/>
    </row>
    <row r="214" spans="1:7" ht="15" x14ac:dyDescent="0.2">
      <c r="A214" s="34" t="s">
        <v>98</v>
      </c>
      <c r="B214" s="37">
        <v>45921</v>
      </c>
      <c r="C214" s="35">
        <v>93</v>
      </c>
      <c r="D214" s="35">
        <v>28.74</v>
      </c>
      <c r="E214" s="35">
        <v>27.14</v>
      </c>
      <c r="F214" s="35">
        <v>106.9</v>
      </c>
      <c r="G214" s="34"/>
    </row>
    <row r="215" spans="1:7" ht="15" x14ac:dyDescent="0.2">
      <c r="A215" s="34" t="s">
        <v>98</v>
      </c>
      <c r="B215" s="37">
        <v>45922</v>
      </c>
      <c r="C215" s="35">
        <v>94</v>
      </c>
      <c r="D215" s="35">
        <v>28.5</v>
      </c>
      <c r="E215" s="35">
        <v>26.97</v>
      </c>
      <c r="F215" s="35">
        <v>102.6</v>
      </c>
      <c r="G215" s="34"/>
    </row>
    <row r="216" spans="1:7" ht="15" x14ac:dyDescent="0.2">
      <c r="A216" s="34" t="s">
        <v>98</v>
      </c>
      <c r="B216" s="37">
        <v>45923</v>
      </c>
      <c r="C216" s="35">
        <v>95</v>
      </c>
      <c r="D216" s="35">
        <v>28.44</v>
      </c>
      <c r="E216" s="35">
        <v>26.89</v>
      </c>
      <c r="F216" s="35">
        <v>103.2</v>
      </c>
      <c r="G216" s="34"/>
    </row>
    <row r="217" spans="1:7" ht="15" x14ac:dyDescent="0.2">
      <c r="A217" s="34" t="s">
        <v>98</v>
      </c>
      <c r="B217" s="37">
        <v>45924</v>
      </c>
      <c r="C217" s="35">
        <v>96</v>
      </c>
      <c r="D217" s="35">
        <v>27.91</v>
      </c>
      <c r="E217" s="35">
        <v>26.38</v>
      </c>
      <c r="F217" s="35">
        <v>101.8</v>
      </c>
      <c r="G217" s="34"/>
    </row>
    <row r="218" spans="1:7" ht="15" x14ac:dyDescent="0.2">
      <c r="A218" s="34" t="s">
        <v>98</v>
      </c>
      <c r="B218" s="37">
        <v>45925</v>
      </c>
      <c r="C218" s="35">
        <v>97</v>
      </c>
      <c r="D218" s="35">
        <v>28.68</v>
      </c>
      <c r="E218" s="35">
        <v>27.01</v>
      </c>
      <c r="F218" s="35">
        <v>111.3</v>
      </c>
      <c r="G218" s="34"/>
    </row>
    <row r="219" spans="1:7" ht="15" x14ac:dyDescent="0.2">
      <c r="A219" s="34" t="s">
        <v>98</v>
      </c>
      <c r="B219" s="37">
        <v>45926</v>
      </c>
      <c r="C219" s="35">
        <v>98</v>
      </c>
      <c r="D219" s="35">
        <v>28</v>
      </c>
      <c r="E219" s="35">
        <v>26.28</v>
      </c>
      <c r="F219" s="35">
        <v>114.6</v>
      </c>
      <c r="G219" s="34"/>
    </row>
    <row r="220" spans="1:7" ht="15" x14ac:dyDescent="0.2">
      <c r="A220" s="34" t="s">
        <v>98</v>
      </c>
      <c r="B220" s="37">
        <v>45927</v>
      </c>
      <c r="C220" s="35">
        <v>99</v>
      </c>
      <c r="D220" s="35">
        <v>28.48</v>
      </c>
      <c r="E220" s="35">
        <v>26.72</v>
      </c>
      <c r="F220" s="35">
        <v>116.9</v>
      </c>
      <c r="G220" s="34"/>
    </row>
    <row r="221" spans="1:7" ht="15" x14ac:dyDescent="0.2">
      <c r="A221" s="34" t="s">
        <v>98</v>
      </c>
      <c r="B221" s="37">
        <v>45928</v>
      </c>
      <c r="C221" s="35">
        <v>100</v>
      </c>
      <c r="D221" s="35">
        <v>28.28</v>
      </c>
      <c r="E221" s="35">
        <v>26.65</v>
      </c>
      <c r="F221" s="35">
        <v>109</v>
      </c>
      <c r="G221" s="34"/>
    </row>
    <row r="222" spans="1:7" ht="15" x14ac:dyDescent="0.2">
      <c r="A222" s="34" t="s">
        <v>98</v>
      </c>
      <c r="B222" s="37">
        <v>45929</v>
      </c>
      <c r="C222" s="35">
        <v>101</v>
      </c>
      <c r="D222" s="35">
        <v>28.56</v>
      </c>
      <c r="E222" s="35">
        <v>26.91</v>
      </c>
      <c r="F222" s="35">
        <v>110.1</v>
      </c>
      <c r="G222" s="34"/>
    </row>
    <row r="223" spans="1:7" ht="15" x14ac:dyDescent="0.2">
      <c r="A223" s="34" t="s">
        <v>98</v>
      </c>
      <c r="B223" s="37">
        <v>45930</v>
      </c>
      <c r="C223" s="35">
        <v>102</v>
      </c>
      <c r="D223" s="35">
        <v>28.41</v>
      </c>
      <c r="E223" s="35">
        <v>26.9</v>
      </c>
      <c r="F223" s="35">
        <v>100.3</v>
      </c>
      <c r="G223" s="34"/>
    </row>
    <row r="224" spans="1:7" ht="15" x14ac:dyDescent="0.2">
      <c r="A224" s="34" t="s">
        <v>98</v>
      </c>
      <c r="B224" s="37">
        <v>45931</v>
      </c>
      <c r="C224" s="35">
        <v>103</v>
      </c>
      <c r="D224" s="35">
        <v>28.18</v>
      </c>
      <c r="E224" s="35">
        <v>26.55</v>
      </c>
      <c r="F224" s="35">
        <v>108.7</v>
      </c>
      <c r="G224" s="34"/>
    </row>
    <row r="225" spans="1:7" ht="15" x14ac:dyDescent="0.2">
      <c r="A225" s="34" t="s">
        <v>98</v>
      </c>
      <c r="B225" s="37">
        <v>45932</v>
      </c>
      <c r="C225" s="35">
        <v>104</v>
      </c>
      <c r="D225" s="35">
        <v>28.35</v>
      </c>
      <c r="E225" s="35">
        <v>26.73</v>
      </c>
      <c r="F225" s="35">
        <v>108</v>
      </c>
      <c r="G225" s="34"/>
    </row>
    <row r="226" spans="1:7" ht="15" x14ac:dyDescent="0.2">
      <c r="A226" s="34" t="s">
        <v>98</v>
      </c>
      <c r="B226" s="37">
        <v>45933</v>
      </c>
      <c r="C226" s="35">
        <v>105</v>
      </c>
      <c r="D226" s="35">
        <v>28.26</v>
      </c>
      <c r="E226" s="35">
        <v>26.58</v>
      </c>
      <c r="F226" s="35">
        <v>112.3</v>
      </c>
      <c r="G226" s="34"/>
    </row>
    <row r="227" spans="1:7" ht="15" x14ac:dyDescent="0.2">
      <c r="A227" s="34" t="s">
        <v>98</v>
      </c>
      <c r="B227" s="37">
        <v>45934</v>
      </c>
      <c r="C227" s="35">
        <v>106</v>
      </c>
      <c r="D227" s="35">
        <v>28.85</v>
      </c>
      <c r="E227" s="35">
        <v>27.35</v>
      </c>
      <c r="F227" s="35">
        <v>100.3</v>
      </c>
      <c r="G227" s="34"/>
    </row>
    <row r="228" spans="1:7" ht="15" x14ac:dyDescent="0.2">
      <c r="A228" s="34" t="s">
        <v>98</v>
      </c>
      <c r="B228" s="37">
        <v>45935</v>
      </c>
      <c r="C228" s="35">
        <v>107</v>
      </c>
      <c r="D228" s="35">
        <v>28.36</v>
      </c>
      <c r="E228" s="35">
        <v>26.78</v>
      </c>
      <c r="F228" s="35">
        <v>105.2</v>
      </c>
      <c r="G228" s="34"/>
    </row>
    <row r="229" spans="1:7" ht="15" x14ac:dyDescent="0.2">
      <c r="A229" s="34" t="s">
        <v>98</v>
      </c>
      <c r="B229" s="37">
        <v>45936</v>
      </c>
      <c r="C229" s="35">
        <v>108</v>
      </c>
      <c r="D229" s="35">
        <v>28.52</v>
      </c>
      <c r="E229" s="35">
        <v>26.94</v>
      </c>
      <c r="F229" s="35">
        <v>105.1</v>
      </c>
      <c r="G229" s="34"/>
    </row>
    <row r="230" spans="1:7" ht="15" x14ac:dyDescent="0.2">
      <c r="A230" s="34" t="s">
        <v>98</v>
      </c>
      <c r="B230" s="37">
        <v>45937</v>
      </c>
      <c r="C230" s="35">
        <v>109</v>
      </c>
      <c r="D230" s="35">
        <v>28.88</v>
      </c>
      <c r="E230" s="35">
        <v>27.14</v>
      </c>
      <c r="F230" s="35">
        <v>116.1</v>
      </c>
      <c r="G230" s="34"/>
    </row>
    <row r="231" spans="1:7" ht="15" x14ac:dyDescent="0.2">
      <c r="A231" s="34" t="s">
        <v>98</v>
      </c>
      <c r="B231" s="37">
        <v>45938</v>
      </c>
      <c r="C231" s="35">
        <v>110</v>
      </c>
      <c r="D231" s="35">
        <v>28.78</v>
      </c>
      <c r="E231" s="35">
        <v>27.13</v>
      </c>
      <c r="F231" s="35">
        <v>110.1</v>
      </c>
      <c r="G231" s="34"/>
    </row>
    <row r="232" spans="1:7" ht="15" x14ac:dyDescent="0.2">
      <c r="A232" s="34" t="s">
        <v>98</v>
      </c>
      <c r="B232" s="37">
        <v>45939</v>
      </c>
      <c r="C232" s="35">
        <v>111</v>
      </c>
      <c r="D232" s="35">
        <v>28.41</v>
      </c>
      <c r="E232" s="35">
        <v>27.12</v>
      </c>
      <c r="F232" s="35">
        <v>86.4</v>
      </c>
      <c r="G232" s="34"/>
    </row>
    <row r="233" spans="1:7" ht="15" x14ac:dyDescent="0.2">
      <c r="A233" s="34" t="s">
        <v>98</v>
      </c>
      <c r="B233" s="37">
        <v>45940</v>
      </c>
      <c r="C233" s="35">
        <v>112</v>
      </c>
      <c r="D233" s="35">
        <v>29.01</v>
      </c>
      <c r="E233" s="35">
        <v>27.64</v>
      </c>
      <c r="F233" s="35">
        <v>91.3</v>
      </c>
      <c r="G233" s="34"/>
    </row>
    <row r="234" spans="1:7" ht="15" x14ac:dyDescent="0.2">
      <c r="A234" s="34" t="s">
        <v>98</v>
      </c>
      <c r="B234" s="37">
        <v>45941</v>
      </c>
      <c r="C234" s="35">
        <v>113</v>
      </c>
      <c r="D234" s="35">
        <v>28.75</v>
      </c>
      <c r="E234" s="35">
        <v>27.33</v>
      </c>
      <c r="F234" s="35">
        <v>94.9</v>
      </c>
      <c r="G234" s="34"/>
    </row>
    <row r="235" spans="1:7" ht="15" x14ac:dyDescent="0.2">
      <c r="A235" s="34" t="s">
        <v>98</v>
      </c>
      <c r="B235" s="37">
        <v>45942</v>
      </c>
      <c r="C235" s="35">
        <v>114</v>
      </c>
      <c r="D235" s="35">
        <v>28.72</v>
      </c>
      <c r="E235" s="35">
        <v>27.18</v>
      </c>
      <c r="F235" s="35">
        <v>102.7</v>
      </c>
      <c r="G235" s="34"/>
    </row>
    <row r="236" spans="1:7" ht="15" x14ac:dyDescent="0.2">
      <c r="A236" s="34" t="s">
        <v>98</v>
      </c>
      <c r="B236" s="37">
        <v>45943</v>
      </c>
      <c r="C236" s="35">
        <v>115</v>
      </c>
      <c r="D236" s="35">
        <v>28.65</v>
      </c>
      <c r="E236" s="35">
        <v>27.23</v>
      </c>
      <c r="F236" s="35">
        <v>94.6</v>
      </c>
      <c r="G236" s="34"/>
    </row>
    <row r="237" spans="1:7" ht="15" x14ac:dyDescent="0.2">
      <c r="A237" s="34" t="s">
        <v>98</v>
      </c>
      <c r="B237" s="37">
        <v>45944</v>
      </c>
      <c r="C237" s="35">
        <v>116</v>
      </c>
      <c r="D237" s="35">
        <v>28.86</v>
      </c>
      <c r="E237" s="35">
        <v>27.51</v>
      </c>
      <c r="F237" s="35">
        <v>89.5</v>
      </c>
      <c r="G237" s="34"/>
    </row>
    <row r="238" spans="1:7" ht="15" x14ac:dyDescent="0.2">
      <c r="A238" s="34" t="s">
        <v>98</v>
      </c>
      <c r="B238" s="37">
        <v>45945</v>
      </c>
      <c r="C238" s="35">
        <v>117</v>
      </c>
      <c r="D238" s="35">
        <v>28.79</v>
      </c>
      <c r="E238" s="35">
        <v>27.59</v>
      </c>
      <c r="F238" s="35">
        <v>79.7</v>
      </c>
      <c r="G238" s="34"/>
    </row>
    <row r="239" spans="1:7" ht="15" x14ac:dyDescent="0.2">
      <c r="A239" s="34" t="s">
        <v>98</v>
      </c>
      <c r="B239" s="37">
        <v>45946</v>
      </c>
      <c r="C239" s="35">
        <v>118</v>
      </c>
      <c r="D239" s="35">
        <v>28.55</v>
      </c>
      <c r="E239" s="35">
        <v>27.25</v>
      </c>
      <c r="F239" s="35">
        <v>86.3</v>
      </c>
      <c r="G239" s="34"/>
    </row>
    <row r="240" spans="1:7" ht="15" x14ac:dyDescent="0.2">
      <c r="A240" s="34" t="s">
        <v>98</v>
      </c>
      <c r="B240" s="37">
        <v>45947</v>
      </c>
      <c r="C240" s="35">
        <v>119</v>
      </c>
      <c r="D240" s="35">
        <v>29.19</v>
      </c>
      <c r="E240" s="35">
        <v>27.86</v>
      </c>
      <c r="F240" s="35">
        <v>88.1</v>
      </c>
      <c r="G240" s="34"/>
    </row>
    <row r="241" spans="1:7" ht="15" x14ac:dyDescent="0.2">
      <c r="A241" s="34" t="s">
        <v>98</v>
      </c>
      <c r="B241" s="37">
        <v>45948</v>
      </c>
      <c r="C241" s="35">
        <v>120</v>
      </c>
      <c r="D241" s="35">
        <v>29.07</v>
      </c>
      <c r="E241" s="35">
        <v>27.91</v>
      </c>
      <c r="F241" s="35">
        <v>77.400000000000006</v>
      </c>
      <c r="G241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Tagging</vt:lpstr>
      <vt:lpstr>Effort</vt:lpstr>
      <vt:lpstr>Telemetry MetaData</vt:lpstr>
      <vt:lpstr>Pings</vt:lpstr>
      <vt:lpstr>Depth</vt:lpstr>
      <vt:lpstr>Temp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Margaret Wilson</cp:lastModifiedBy>
  <dcterms:modified xsi:type="dcterms:W3CDTF">2025-12-17T15:09:00Z</dcterms:modified>
</cp:coreProperties>
</file>