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ging" sheetId="1" r:id="rId5"/>
    <sheet state="visible" name="Fisheries Report" sheetId="2" r:id="rId6"/>
    <sheet state="visible" name="Effort" sheetId="3" r:id="rId7"/>
    <sheet state="visible" name="Telemetry MetaDat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tc={6c03101f-ca58-4c58-a2b3-cc7966d81261}</author>
    <author>tc={785088b6-9dce-49e1-a2ac-09338bfe1011}</author>
    <author>tc={7d2d9b09-222a-4a6e-ab66-cc242d773e44}</author>
    <author>tc={8d792e91-a9b8-47cf-9aff-36d4dae60f1f}</author>
    <author>tc={ada14173-5290-4f10-8993-7691772ab032}</author>
    <author>tc={cf32022f-9a76-4db0-a8be-5f3b0c9001e5}</author>
    <author>tc={ea83fe79-0937-4fcb-b614-97e84d216e4f}</author>
  </authors>
  <commentList>
    <comment authorId="0" xr:uid="{6c03101f-ca58-4c58-a2b3-cc7966d81261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listed as a male in tagging data but as female in satellite tag dataset
</t>
      </text>
    </comment>
    <comment authorId="1" xr:uid="{785088b6-9dce-49e1-a2ac-09338bfe1011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 in Tadzio's OG data
</t>
      </text>
    </comment>
    <comment authorId="2" xr:uid="{7d2d9b09-222a-4a6e-ab66-cc242d773e44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 in Tadzio's OG data
</t>
      </text>
    </comment>
    <comment authorId="3" xr:uid="{8d792e91-a9b8-47cf-9aff-36d4dae60f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Doesn't align with tag data?
</t>
      </text>
    </comment>
    <comment authorId="4" xr:uid="{ada14173-5290-4f10-8993-7691772ab032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shark is listed in Tadzio's sat tag data, but not actual shark tagging dataset
</t>
      </text>
    </comment>
    <comment authorId="5" xr:uid="{cf32022f-9a76-4db0-a8be-5f3b0c9001e5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 from photo - fish box width is 75cm, other photos implied that length to pelvic fin is approximately half of the total length
</t>
      </text>
    </comment>
    <comment authorId="6" xr:uid="{ea83fe79-0937-4fcb-b614-97e84d216e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is this the same...?
</t>
      </text>
    </comment>
  </commentList>
</comments>
</file>

<file path=xl/sharedStrings.xml><?xml version="1.0" encoding="utf-8"?>
<sst xmlns="http://schemas.openxmlformats.org/spreadsheetml/2006/main" count="364" uniqueCount="115">
  <si>
    <t>Date</t>
  </si>
  <si>
    <t>Time</t>
  </si>
  <si>
    <t>Island</t>
  </si>
  <si>
    <t>Location</t>
  </si>
  <si>
    <t>Latitude</t>
  </si>
  <si>
    <t>Longitude</t>
  </si>
  <si>
    <t>GPS_unit</t>
  </si>
  <si>
    <t>GPS_Mark</t>
  </si>
  <si>
    <t>Floy</t>
  </si>
  <si>
    <t>Species_com</t>
  </si>
  <si>
    <t>Species</t>
  </si>
  <si>
    <t>Sex</t>
  </si>
  <si>
    <t>Male_maturity</t>
  </si>
  <si>
    <t>TL</t>
  </si>
  <si>
    <t>FL</t>
  </si>
  <si>
    <t>PCL</t>
  </si>
  <si>
    <t>PIT_ID</t>
  </si>
  <si>
    <t>DNA_YN</t>
  </si>
  <si>
    <t>Sat_YN</t>
  </si>
  <si>
    <t>Sat_PTT</t>
  </si>
  <si>
    <t>Notes</t>
  </si>
  <si>
    <t>Attachments</t>
  </si>
  <si>
    <t>Antigua</t>
  </si>
  <si>
    <t>The Nest</t>
  </si>
  <si>
    <t>00168</t>
  </si>
  <si>
    <t>Silky</t>
  </si>
  <si>
    <t>Carcharhinus falciformis</t>
  </si>
  <si>
    <t>F</t>
  </si>
  <si>
    <t>NA</t>
  </si>
  <si>
    <t>989001026933928</t>
  </si>
  <si>
    <t>Y</t>
  </si>
  <si>
    <t>N</t>
  </si>
  <si>
    <t>00175</t>
  </si>
  <si>
    <t>989001026933966</t>
  </si>
  <si>
    <t>00006</t>
  </si>
  <si>
    <t>989001026933899</t>
  </si>
  <si>
    <t>Ffryes Shoals</t>
  </si>
  <si>
    <t>00024</t>
  </si>
  <si>
    <t>Tiger</t>
  </si>
  <si>
    <t>Galeocerdo cuvier</t>
  </si>
  <si>
    <t>989001026933956</t>
  </si>
  <si>
    <t>00165</t>
  </si>
  <si>
    <t>989001026933924</t>
  </si>
  <si>
    <t>00017</t>
  </si>
  <si>
    <t>989001026933918</t>
  </si>
  <si>
    <t>Barbuda</t>
  </si>
  <si>
    <t>Palmetto Point</t>
  </si>
  <si>
    <t>00152</t>
  </si>
  <si>
    <t>989001026933958</t>
  </si>
  <si>
    <t>23U2142</t>
  </si>
  <si>
    <t>00164</t>
  </si>
  <si>
    <t>M</t>
  </si>
  <si>
    <t>989001026933161</t>
  </si>
  <si>
    <t>23U2175</t>
  </si>
  <si>
    <t>This is listed as a male in tagging data but as female in satellite tag dataset. Tadzio's OG data says Sat_PTT 260594? Sat tag origin shows deployment at South Bank</t>
  </si>
  <si>
    <t>12/XX/2023</t>
  </si>
  <si>
    <t>23U2179</t>
  </si>
  <si>
    <t>Nothing in Tadzio's OG data, just sat data output. Sat tag origin says Jabbawock beach....??</t>
  </si>
  <si>
    <t>00166</t>
  </si>
  <si>
    <t>989001026933432</t>
  </si>
  <si>
    <t>23U3903</t>
  </si>
  <si>
    <t>Tadzio's OG data says 260782?</t>
  </si>
  <si>
    <t>2</t>
  </si>
  <si>
    <t>318</t>
  </si>
  <si>
    <t>00199</t>
  </si>
  <si>
    <t>3DD.003035C493</t>
  </si>
  <si>
    <t>283833</t>
  </si>
  <si>
    <t>322</t>
  </si>
  <si>
    <t>00198</t>
  </si>
  <si>
    <t>Reef</t>
  </si>
  <si>
    <t>Carcharhinus perezii</t>
  </si>
  <si>
    <t>3D6.00183FCF83</t>
  </si>
  <si>
    <t>321</t>
  </si>
  <si>
    <t>00091</t>
  </si>
  <si>
    <t>3D6.00183FCF76</t>
  </si>
  <si>
    <t>260593</t>
  </si>
  <si>
    <t>00099</t>
  </si>
  <si>
    <t>3D6.00183FCF6F</t>
  </si>
  <si>
    <t>26354</t>
  </si>
  <si>
    <t>00093</t>
  </si>
  <si>
    <t>3D6.1533AF3161</t>
  </si>
  <si>
    <t>00197</t>
  </si>
  <si>
    <t>Mature</t>
  </si>
  <si>
    <t>3D6.1533AF3140</t>
  </si>
  <si>
    <t>1</t>
  </si>
  <si>
    <t>00192</t>
  </si>
  <si>
    <t>3D6.1534925823</t>
  </si>
  <si>
    <t>36353</t>
  </si>
  <si>
    <t>00200</t>
  </si>
  <si>
    <t>3D6.15349257F3</t>
  </si>
  <si>
    <t>TL estimated from photo - fish box width is 75cm, other photos implied that length to pelvic fin is approximately half of the total length</t>
  </si>
  <si>
    <t>Date tagged</t>
  </si>
  <si>
    <t>Floy Tag ID</t>
  </si>
  <si>
    <t>Total Length</t>
  </si>
  <si>
    <t>Fork Length</t>
  </si>
  <si>
    <t>Precaudal Length</t>
  </si>
  <si>
    <t>Satellite Tag PTTID</t>
  </si>
  <si>
    <t>TL estimated from photo due to time-sensitive nature of capture</t>
  </si>
  <si>
    <t>Start time</t>
  </si>
  <si>
    <t>End time</t>
  </si>
  <si>
    <t>Set duration</t>
  </si>
  <si>
    <t>N rigs</t>
  </si>
  <si>
    <t>Date Tag Deployed</t>
  </si>
  <si>
    <t>Country</t>
  </si>
  <si>
    <t>Tag Deploy Lat</t>
  </si>
  <si>
    <t xml:space="preserve">Tag Deploy Long </t>
  </si>
  <si>
    <t>SPP</t>
  </si>
  <si>
    <t>PTTID</t>
  </si>
  <si>
    <t xml:space="preserve">Data Recieved </t>
  </si>
  <si>
    <t>283833PAT</t>
  </si>
  <si>
    <t>20/10/2025</t>
  </si>
  <si>
    <t>260593PAT</t>
  </si>
  <si>
    <t>26354MINIPAT</t>
  </si>
  <si>
    <t>Est: 17/11/2025</t>
  </si>
  <si>
    <t>36353MINIPAT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</si>
</sst>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&quot;:&quot;mm"/>
    <numFmt numFmtId="166" formatCode="mm/dd/yyyy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0" numFmtId="164" xfId="0" applyAlignment="1" applyFont="1" applyNumberFormat="1">
      <alignment horizontal="right" readingOrder="0" shrinkToFit="0" vertical="bottom" wrapText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0" numFmtId="49" xfId="0" applyAlignment="1" applyFont="1" applyNumberFormat="1">
      <alignment horizontal="right" readingOrder="0" shrinkToFit="0" vertical="bottom" wrapText="0"/>
    </xf>
    <xf borderId="0" fillId="2" fontId="0" numFmtId="0" xfId="0" applyAlignment="1" applyFill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49" xfId="0" applyAlignment="1" applyFont="1" applyNumberFormat="1">
      <alignment horizontal="right" vertical="bottom"/>
    </xf>
    <xf borderId="0" fillId="0" fontId="0" numFmtId="0" xfId="0" applyAlignment="1" applyFont="1">
      <alignment horizontal="right" readingOrder="0"/>
    </xf>
    <xf borderId="0" fillId="0" fontId="0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3" fontId="0" numFmtId="0" xfId="0" applyAlignment="1" applyFill="1" applyFont="1">
      <alignment readingOrder="0"/>
    </xf>
    <xf borderId="0" fillId="3" fontId="0" numFmtId="0" xfId="0" applyFont="1"/>
    <xf borderId="0" fillId="3" fontId="0" numFmtId="0" xfId="0" applyAlignment="1" applyFont="1">
      <alignment readingOrder="0" shrinkToFit="0" vertical="bottom" wrapText="0"/>
    </xf>
    <xf borderId="0" fillId="3" fontId="0" numFmtId="0" xfId="0" applyAlignment="1" applyFont="1">
      <alignment readingOrder="0" vertical="center"/>
    </xf>
    <xf borderId="0" fillId="3" fontId="0" numFmtId="49" xfId="0" applyAlignment="1" applyFont="1" applyNumberFormat="1">
      <alignment horizontal="right" readingOrder="0" shrinkToFit="0" vertical="bottom" wrapText="0"/>
    </xf>
    <xf borderId="0" fillId="3" fontId="0" numFmtId="0" xfId="0" applyAlignment="1" applyFont="1">
      <alignment horizontal="right" readingOrder="0" shrinkToFit="0" vertical="bottom" wrapText="0"/>
    </xf>
    <xf borderId="0" fillId="3" fontId="0" numFmtId="49" xfId="0" applyAlignment="1" applyFont="1" applyNumberFormat="1">
      <alignment horizontal="right" readingOrder="0"/>
    </xf>
    <xf borderId="0" fillId="3" fontId="0" numFmtId="0" xfId="0" applyAlignment="1" applyFont="1">
      <alignment horizontal="right" readingOrder="0"/>
    </xf>
    <xf borderId="0" fillId="0" fontId="0" numFmtId="49" xfId="0" applyAlignment="1" applyFont="1" applyNumberFormat="1">
      <alignment horizontal="right"/>
    </xf>
    <xf borderId="0" fillId="0" fontId="0" numFmtId="49" xfId="0" applyAlignment="1" applyFont="1" applyNumberFormat="1">
      <alignment readingOrder="0"/>
    </xf>
    <xf borderId="0" fillId="0" fontId="0" numFmtId="49" xfId="0" applyAlignment="1" applyFont="1" applyNumberFormat="1">
      <alignment horizontal="right" readingOrder="0"/>
    </xf>
    <xf borderId="0" fillId="0" fontId="0" numFmtId="49" xfId="0" applyFont="1" applyNumberForma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20" xfId="0" applyFont="1" applyNumberFormat="1"/>
    <xf borderId="0" fillId="2" fontId="0" numFmtId="0" xfId="0" applyAlignment="1" applyFont="1">
      <alignment readingOrder="0"/>
    </xf>
    <xf borderId="0" fillId="2" fontId="0" numFmtId="0" xfId="0" applyAlignment="1" applyFont="1">
      <alignment horizontal="right" readingOrder="0"/>
    </xf>
    <xf borderId="0" fillId="2" fontId="0" numFmtId="0" xfId="0" applyFont="1"/>
    <xf borderId="0" fillId="4" fontId="0" numFmtId="0" xfId="0" applyFill="1" applyFont="1"/>
    <xf borderId="0" fillId="2" fontId="0" numFmtId="164" xfId="0" applyAlignment="1" applyFont="1" applyNumberFormat="1">
      <alignment readingOrder="0"/>
    </xf>
    <xf borderId="0" fillId="2" fontId="0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lly Wilson" id="{f0ac7b56-dcc2-443a-8941-02a3649851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1" dT="2025-09-02T20:31:35.00" personId="{f0ac7b56-dcc2-443a-8941-02a36498510e}" id="{785088b6-9dce-49e1-a2ac-09338bfe1011}" done="0">
    <x18tc:text xml:space="preserve">Different in Tadzio's OG data</x18tc:text>
  </x18tc:threadedComment>
  <x18tc:threadedComment ref="L9" dT="2025-07-02T15:46:40.00" personId="{f0ac7b56-dcc2-443a-8941-02a36498510e}" id="{6c03101f-ca58-4c58-a2b3-cc7966d81261}" done="0">
    <x18tc:text xml:space="preserve">This is listed as a male in tagging data but as female in satellite tag dataset</x18tc:text>
  </x18tc:threadedComment>
  <x18tc:threadedComment ref="A1" dT="2025-06-12T16:33:49.00" personId="{f0ac7b56-dcc2-443a-8941-02a36498510e}" id="{ea83fe79-0937-4fcb-b614-97e84d216e4f}" done="1">
    <x18tc:text xml:space="preserve">How is this the same...?</x18tc:text>
  </x18tc:threadedComment>
  <x18tc:threadedComment ref="I10" dT="2025-07-02T15:46:24.00" personId="{f0ac7b56-dcc2-443a-8941-02a36498510e}" id="{ada14173-5290-4f10-8993-7691772ab032}" done="0">
    <x18tc:text xml:space="preserve">This shark is listed in Tadzio's sat tag data, but not actual shark tagging dataset</x18tc:text>
  </x18tc:threadedComment>
  <x18tc:threadedComment ref="N20" dT="2025-07-02T14:37:30.00" personId="{f0ac7b56-dcc2-443a-8941-02a36498510e}" id="{cf32022f-9a76-4db0-a8be-5f3b0c9001e5}" done="1">
    <x18tc:text xml:space="preserve">Estimated from photo - fish box width is 75cm, other photos implied that length to pelvic fin is approximately half of the total length</x18tc:text>
  </x18tc:threadedComment>
  <x18tc:threadedComment ref="T9" dT="2025-09-02T20:31:27.00" personId="{f0ac7b56-dcc2-443a-8941-02a36498510e}" id="{7d2d9b09-222a-4a6e-ab66-cc242d773e44}" done="0">
    <x18tc:text xml:space="preserve">Different in Tadzio's OG data</x18tc:text>
  </x18tc:threadedComment>
  <x18tc:threadedComment ref="A1" dT="2025-06-12T16:43:09.00" personId="{f0ac7b56-dcc2-443a-8941-02a36498510e}" id="{8d792e91-a9b8-47cf-9aff-36d4dae60f1f}" done="0">
    <x18tc:text xml:space="preserve">Doesn't align with tag data?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8" width="12.63"/>
    <col customWidth="1" min="17" max="17" width="19.63"/>
    <col customWidth="1" min="18" max="1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>
        <v>45247.0</v>
      </c>
      <c r="B2" s="5">
        <v>0.36041666666666666</v>
      </c>
      <c r="C2" s="6" t="s">
        <v>22</v>
      </c>
      <c r="D2" s="7" t="s">
        <v>23</v>
      </c>
      <c r="E2" s="6">
        <v>16.9975333333</v>
      </c>
      <c r="F2" s="6">
        <v>-61.7919333333</v>
      </c>
      <c r="G2" s="8"/>
      <c r="H2" s="8"/>
      <c r="I2" s="9" t="s">
        <v>24</v>
      </c>
      <c r="J2" s="6" t="s">
        <v>25</v>
      </c>
      <c r="K2" s="7" t="s">
        <v>26</v>
      </c>
      <c r="L2" s="6" t="s">
        <v>27</v>
      </c>
      <c r="M2" s="7" t="s">
        <v>28</v>
      </c>
      <c r="N2" s="10">
        <v>170.0</v>
      </c>
      <c r="O2" s="11">
        <v>157.0</v>
      </c>
      <c r="P2" s="11">
        <v>141.0</v>
      </c>
      <c r="Q2" s="12" t="s">
        <v>29</v>
      </c>
      <c r="R2" s="9" t="s">
        <v>30</v>
      </c>
      <c r="S2" s="13" t="s">
        <v>31</v>
      </c>
      <c r="T2" s="9" t="s">
        <v>28</v>
      </c>
      <c r="U2" s="6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4">
        <v>45247.0</v>
      </c>
      <c r="B3" s="5">
        <v>0.41388888888888886</v>
      </c>
      <c r="C3" s="6" t="s">
        <v>22</v>
      </c>
      <c r="D3" s="7" t="s">
        <v>23</v>
      </c>
      <c r="E3" s="6">
        <v>16.9975333333</v>
      </c>
      <c r="F3" s="6">
        <v>-61.7919333333</v>
      </c>
      <c r="G3" s="8"/>
      <c r="H3" s="8"/>
      <c r="I3" s="9" t="s">
        <v>32</v>
      </c>
      <c r="J3" s="6" t="s">
        <v>25</v>
      </c>
      <c r="K3" s="7" t="s">
        <v>26</v>
      </c>
      <c r="L3" s="6" t="s">
        <v>27</v>
      </c>
      <c r="M3" s="7" t="s">
        <v>28</v>
      </c>
      <c r="N3" s="10">
        <v>153.0</v>
      </c>
      <c r="O3" s="11">
        <v>129.0</v>
      </c>
      <c r="P3" s="11">
        <v>117.0</v>
      </c>
      <c r="Q3" s="12" t="s">
        <v>33</v>
      </c>
      <c r="R3" s="9" t="s">
        <v>30</v>
      </c>
      <c r="S3" s="13" t="s">
        <v>31</v>
      </c>
      <c r="T3" s="9" t="s">
        <v>28</v>
      </c>
      <c r="U3" s="6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4">
        <v>45247.0</v>
      </c>
      <c r="B4" s="5">
        <v>0.4583333333333333</v>
      </c>
      <c r="C4" s="6" t="s">
        <v>22</v>
      </c>
      <c r="D4" s="7" t="s">
        <v>23</v>
      </c>
      <c r="E4" s="6">
        <v>16.9975333333</v>
      </c>
      <c r="F4" s="6">
        <v>-61.7919333333</v>
      </c>
      <c r="G4" s="8"/>
      <c r="H4" s="8"/>
      <c r="I4" s="9" t="s">
        <v>34</v>
      </c>
      <c r="J4" s="6" t="s">
        <v>25</v>
      </c>
      <c r="K4" s="7" t="s">
        <v>26</v>
      </c>
      <c r="L4" s="6" t="s">
        <v>27</v>
      </c>
      <c r="M4" s="7" t="s">
        <v>28</v>
      </c>
      <c r="N4" s="10">
        <v>167.0</v>
      </c>
      <c r="O4" s="11">
        <v>140.0</v>
      </c>
      <c r="P4" s="11">
        <v>123.0</v>
      </c>
      <c r="Q4" s="12" t="s">
        <v>35</v>
      </c>
      <c r="R4" s="9" t="s">
        <v>30</v>
      </c>
      <c r="S4" s="13" t="s">
        <v>31</v>
      </c>
      <c r="T4" s="9" t="s">
        <v>28</v>
      </c>
      <c r="U4" s="6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4">
        <v>45247.0</v>
      </c>
      <c r="B5" s="5">
        <v>0.6041666666666666</v>
      </c>
      <c r="C5" s="6" t="s">
        <v>22</v>
      </c>
      <c r="D5" s="7" t="s">
        <v>36</v>
      </c>
      <c r="E5" s="6"/>
      <c r="F5" s="6"/>
      <c r="G5" s="8"/>
      <c r="H5" s="8"/>
      <c r="I5" s="9" t="s">
        <v>37</v>
      </c>
      <c r="J5" s="6" t="s">
        <v>38</v>
      </c>
      <c r="K5" s="7" t="s">
        <v>39</v>
      </c>
      <c r="L5" s="6" t="s">
        <v>27</v>
      </c>
      <c r="M5" s="7" t="s">
        <v>28</v>
      </c>
      <c r="N5" s="10">
        <v>340.0</v>
      </c>
      <c r="O5" s="11">
        <v>289.0</v>
      </c>
      <c r="P5" s="11">
        <v>270.0</v>
      </c>
      <c r="Q5" s="12" t="s">
        <v>40</v>
      </c>
      <c r="R5" s="9" t="s">
        <v>30</v>
      </c>
      <c r="S5" s="13" t="s">
        <v>31</v>
      </c>
      <c r="T5" s="9" t="s">
        <v>28</v>
      </c>
      <c r="U5" s="6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4">
        <v>45248.0</v>
      </c>
      <c r="B6" s="5">
        <v>0.5173611111111112</v>
      </c>
      <c r="C6" s="6" t="s">
        <v>22</v>
      </c>
      <c r="D6" s="7" t="s">
        <v>23</v>
      </c>
      <c r="E6" s="6">
        <v>16.9975333333</v>
      </c>
      <c r="F6" s="6">
        <v>-61.7919333333</v>
      </c>
      <c r="G6" s="8"/>
      <c r="H6" s="8"/>
      <c r="I6" s="9" t="s">
        <v>41</v>
      </c>
      <c r="J6" s="6" t="s">
        <v>25</v>
      </c>
      <c r="K6" s="7" t="s">
        <v>26</v>
      </c>
      <c r="L6" s="6" t="s">
        <v>27</v>
      </c>
      <c r="M6" s="7" t="s">
        <v>28</v>
      </c>
      <c r="N6" s="10">
        <v>180.0</v>
      </c>
      <c r="O6" s="11">
        <v>152.0</v>
      </c>
      <c r="P6" s="11">
        <v>142.0</v>
      </c>
      <c r="Q6" s="12" t="s">
        <v>42</v>
      </c>
      <c r="R6" s="9" t="s">
        <v>30</v>
      </c>
      <c r="S6" s="13" t="s">
        <v>31</v>
      </c>
      <c r="T6" s="9" t="s">
        <v>28</v>
      </c>
      <c r="U6" s="6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4">
        <v>45248.0</v>
      </c>
      <c r="B7" s="5">
        <v>0.5479166666666667</v>
      </c>
      <c r="C7" s="6" t="s">
        <v>22</v>
      </c>
      <c r="D7" s="7" t="s">
        <v>23</v>
      </c>
      <c r="E7" s="6">
        <v>16.9975333333</v>
      </c>
      <c r="F7" s="6">
        <v>-61.7919333333</v>
      </c>
      <c r="G7" s="8"/>
      <c r="H7" s="8"/>
      <c r="I7" s="9" t="s">
        <v>43</v>
      </c>
      <c r="J7" s="6" t="s">
        <v>25</v>
      </c>
      <c r="K7" s="7" t="s">
        <v>26</v>
      </c>
      <c r="L7" s="6" t="s">
        <v>27</v>
      </c>
      <c r="M7" s="7" t="s">
        <v>28</v>
      </c>
      <c r="N7" s="10">
        <v>214.0</v>
      </c>
      <c r="O7" s="11">
        <v>172.0</v>
      </c>
      <c r="P7" s="11">
        <v>158.0</v>
      </c>
      <c r="Q7" s="12" t="s">
        <v>44</v>
      </c>
      <c r="R7" s="9" t="s">
        <v>30</v>
      </c>
      <c r="S7" s="13" t="s">
        <v>31</v>
      </c>
      <c r="T7" s="9" t="s">
        <v>28</v>
      </c>
      <c r="U7" s="6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14">
        <v>45276.0</v>
      </c>
      <c r="B8" s="15">
        <v>0.7243055555555555</v>
      </c>
      <c r="C8" s="7" t="s">
        <v>45</v>
      </c>
      <c r="D8" s="7" t="s">
        <v>46</v>
      </c>
      <c r="E8" s="16">
        <v>17.57545</v>
      </c>
      <c r="F8" s="16">
        <v>-61.84495</v>
      </c>
      <c r="G8" s="8"/>
      <c r="H8" s="8"/>
      <c r="I8" s="9" t="s">
        <v>47</v>
      </c>
      <c r="J8" s="7" t="s">
        <v>38</v>
      </c>
      <c r="K8" s="7" t="s">
        <v>39</v>
      </c>
      <c r="L8" s="6" t="s">
        <v>27</v>
      </c>
      <c r="M8" s="7" t="s">
        <v>28</v>
      </c>
      <c r="N8" s="10">
        <v>229.0</v>
      </c>
      <c r="O8" s="11">
        <v>189.0</v>
      </c>
      <c r="P8" s="11">
        <v>168.0</v>
      </c>
      <c r="Q8" s="9" t="s">
        <v>48</v>
      </c>
      <c r="R8" s="11" t="s">
        <v>30</v>
      </c>
      <c r="S8" s="13" t="s">
        <v>30</v>
      </c>
      <c r="T8" s="9" t="s">
        <v>49</v>
      </c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14">
        <v>45278.0</v>
      </c>
      <c r="B9" s="15">
        <v>0.44375</v>
      </c>
      <c r="C9" s="6" t="s">
        <v>22</v>
      </c>
      <c r="D9" s="7" t="s">
        <v>23</v>
      </c>
      <c r="E9" s="6">
        <v>16.9975333333</v>
      </c>
      <c r="F9" s="6">
        <v>-61.7919333333</v>
      </c>
      <c r="G9" s="8"/>
      <c r="H9" s="8"/>
      <c r="I9" s="9" t="s">
        <v>50</v>
      </c>
      <c r="J9" s="7" t="s">
        <v>25</v>
      </c>
      <c r="K9" s="7" t="s">
        <v>26</v>
      </c>
      <c r="L9" s="6" t="s">
        <v>51</v>
      </c>
      <c r="M9" s="7" t="s">
        <v>28</v>
      </c>
      <c r="N9" s="10">
        <v>172.0</v>
      </c>
      <c r="O9" s="11">
        <v>148.0</v>
      </c>
      <c r="P9" s="11">
        <v>134.0</v>
      </c>
      <c r="Q9" s="9" t="s">
        <v>52</v>
      </c>
      <c r="R9" s="11" t="s">
        <v>30</v>
      </c>
      <c r="S9" s="13" t="s">
        <v>30</v>
      </c>
      <c r="T9" s="9" t="s">
        <v>53</v>
      </c>
      <c r="U9" s="6" t="s">
        <v>54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16" t="s">
        <v>55</v>
      </c>
      <c r="B10" s="17"/>
      <c r="C10" s="18"/>
      <c r="D10" s="17"/>
      <c r="E10" s="19">
        <v>17.1641666667</v>
      </c>
      <c r="F10" s="16">
        <v>-61.7980833333</v>
      </c>
      <c r="G10" s="17"/>
      <c r="H10" s="17"/>
      <c r="I10" s="20"/>
      <c r="J10" s="16" t="s">
        <v>25</v>
      </c>
      <c r="K10" s="16" t="s">
        <v>26</v>
      </c>
      <c r="L10" s="18" t="s">
        <v>27</v>
      </c>
      <c r="M10" s="16" t="s">
        <v>28</v>
      </c>
      <c r="N10" s="21"/>
      <c r="O10" s="21"/>
      <c r="P10" s="21"/>
      <c r="Q10" s="22"/>
      <c r="R10" s="21"/>
      <c r="S10" s="23" t="s">
        <v>30</v>
      </c>
      <c r="T10" s="20" t="s">
        <v>56</v>
      </c>
      <c r="U10" s="18" t="s">
        <v>57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14">
        <v>45278.0</v>
      </c>
      <c r="B11" s="15">
        <v>0.6791666666666667</v>
      </c>
      <c r="C11" s="6" t="s">
        <v>22</v>
      </c>
      <c r="D11" s="7" t="s">
        <v>36</v>
      </c>
      <c r="E11" s="6">
        <v>17.03195</v>
      </c>
      <c r="F11" s="7">
        <v>-61.91175</v>
      </c>
      <c r="G11" s="8"/>
      <c r="H11" s="8"/>
      <c r="I11" s="9" t="s">
        <v>58</v>
      </c>
      <c r="J11" s="7" t="s">
        <v>38</v>
      </c>
      <c r="K11" s="7" t="s">
        <v>39</v>
      </c>
      <c r="L11" s="6" t="s">
        <v>27</v>
      </c>
      <c r="M11" s="7" t="s">
        <v>28</v>
      </c>
      <c r="N11" s="10">
        <v>251.0</v>
      </c>
      <c r="O11" s="11">
        <v>196.0</v>
      </c>
      <c r="P11" s="11">
        <v>192.0</v>
      </c>
      <c r="Q11" s="9" t="s">
        <v>59</v>
      </c>
      <c r="R11" s="13" t="s">
        <v>30</v>
      </c>
      <c r="S11" s="13" t="s">
        <v>30</v>
      </c>
      <c r="T11" s="24" t="s">
        <v>60</v>
      </c>
      <c r="U11" s="6" t="s">
        <v>61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14">
        <v>45829.0</v>
      </c>
      <c r="B12" s="15">
        <v>0.5625</v>
      </c>
      <c r="C12" s="7" t="s">
        <v>22</v>
      </c>
      <c r="D12" s="7" t="s">
        <v>36</v>
      </c>
      <c r="E12" s="7">
        <v>17.03526</v>
      </c>
      <c r="F12" s="7">
        <v>-61.91842</v>
      </c>
      <c r="G12" s="25" t="s">
        <v>62</v>
      </c>
      <c r="H12" s="25" t="s">
        <v>63</v>
      </c>
      <c r="I12" s="26" t="s">
        <v>64</v>
      </c>
      <c r="J12" s="7" t="s">
        <v>38</v>
      </c>
      <c r="K12" s="7" t="s">
        <v>39</v>
      </c>
      <c r="L12" s="7" t="s">
        <v>27</v>
      </c>
      <c r="M12" s="7" t="s">
        <v>28</v>
      </c>
      <c r="N12" s="7">
        <v>262.0</v>
      </c>
      <c r="O12" s="7">
        <v>215.0</v>
      </c>
      <c r="P12" s="7">
        <v>196.0</v>
      </c>
      <c r="Q12" s="26" t="s">
        <v>65</v>
      </c>
      <c r="R12" s="13" t="s">
        <v>30</v>
      </c>
      <c r="S12" s="13" t="s">
        <v>30</v>
      </c>
      <c r="T12" s="26" t="s">
        <v>66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14">
        <v>45830.0</v>
      </c>
      <c r="B13" s="15">
        <v>0.3548611111111111</v>
      </c>
      <c r="C13" s="7" t="s">
        <v>22</v>
      </c>
      <c r="D13" s="7" t="s">
        <v>36</v>
      </c>
      <c r="E13" s="7">
        <v>17.03296</v>
      </c>
      <c r="F13" s="7">
        <v>-61.91388</v>
      </c>
      <c r="G13" s="25" t="s">
        <v>62</v>
      </c>
      <c r="H13" s="25" t="s">
        <v>67</v>
      </c>
      <c r="I13" s="26" t="s">
        <v>68</v>
      </c>
      <c r="J13" s="7" t="s">
        <v>69</v>
      </c>
      <c r="K13" s="7" t="s">
        <v>70</v>
      </c>
      <c r="L13" s="7" t="s">
        <v>27</v>
      </c>
      <c r="M13" s="7" t="s">
        <v>28</v>
      </c>
      <c r="N13" s="7">
        <v>118.0</v>
      </c>
      <c r="O13" s="7">
        <v>102.0</v>
      </c>
      <c r="P13" s="7">
        <v>87.0</v>
      </c>
      <c r="Q13" s="26" t="s">
        <v>71</v>
      </c>
      <c r="R13" s="13" t="s">
        <v>30</v>
      </c>
      <c r="S13" s="13" t="s">
        <v>31</v>
      </c>
      <c r="T13" s="26" t="s">
        <v>28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14">
        <v>45830.0</v>
      </c>
      <c r="B14" s="15">
        <v>0.6298611111111111</v>
      </c>
      <c r="C14" s="7" t="s">
        <v>22</v>
      </c>
      <c r="D14" s="7" t="s">
        <v>36</v>
      </c>
      <c r="E14" s="7">
        <v>17.03535</v>
      </c>
      <c r="F14" s="7">
        <v>-61.91845</v>
      </c>
      <c r="G14" s="25" t="s">
        <v>62</v>
      </c>
      <c r="H14" s="25" t="s">
        <v>72</v>
      </c>
      <c r="I14" s="26" t="s">
        <v>73</v>
      </c>
      <c r="J14" s="7" t="s">
        <v>38</v>
      </c>
      <c r="K14" s="7" t="s">
        <v>39</v>
      </c>
      <c r="L14" s="7" t="s">
        <v>27</v>
      </c>
      <c r="M14" s="7" t="s">
        <v>28</v>
      </c>
      <c r="N14" s="7">
        <v>292.0</v>
      </c>
      <c r="O14" s="7">
        <v>258.0</v>
      </c>
      <c r="P14" s="7">
        <v>245.0</v>
      </c>
      <c r="Q14" s="26" t="s">
        <v>74</v>
      </c>
      <c r="R14" s="13" t="s">
        <v>30</v>
      </c>
      <c r="S14" s="13" t="s">
        <v>30</v>
      </c>
      <c r="T14" s="26" t="s">
        <v>75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14">
        <v>45833.0</v>
      </c>
      <c r="B15" s="15">
        <v>0.36319444444444443</v>
      </c>
      <c r="C15" s="7" t="s">
        <v>22</v>
      </c>
      <c r="D15" s="7" t="s">
        <v>36</v>
      </c>
      <c r="E15" s="7">
        <v>17.03425</v>
      </c>
      <c r="F15" s="7">
        <v>-61.91316</v>
      </c>
      <c r="G15" s="25" t="s">
        <v>28</v>
      </c>
      <c r="H15" s="25"/>
      <c r="I15" s="26" t="s">
        <v>76</v>
      </c>
      <c r="J15" s="7" t="s">
        <v>38</v>
      </c>
      <c r="K15" s="7" t="s">
        <v>39</v>
      </c>
      <c r="L15" s="7" t="s">
        <v>27</v>
      </c>
      <c r="M15" s="7" t="s">
        <v>28</v>
      </c>
      <c r="N15" s="7">
        <v>249.0</v>
      </c>
      <c r="O15" s="7">
        <v>236.0</v>
      </c>
      <c r="P15" s="7">
        <v>183.0</v>
      </c>
      <c r="Q15" s="26" t="s">
        <v>77</v>
      </c>
      <c r="R15" s="13" t="s">
        <v>30</v>
      </c>
      <c r="S15" s="13" t="s">
        <v>30</v>
      </c>
      <c r="T15" s="26" t="s">
        <v>78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14">
        <v>45833.0</v>
      </c>
      <c r="B16" s="15">
        <v>0.375</v>
      </c>
      <c r="C16" s="7" t="s">
        <v>22</v>
      </c>
      <c r="D16" s="7" t="s">
        <v>36</v>
      </c>
      <c r="E16" s="7">
        <v>17.03425</v>
      </c>
      <c r="F16" s="7">
        <v>-61.91316</v>
      </c>
      <c r="G16" s="25" t="s">
        <v>28</v>
      </c>
      <c r="H16" s="25"/>
      <c r="I16" s="26" t="s">
        <v>79</v>
      </c>
      <c r="J16" s="7" t="s">
        <v>69</v>
      </c>
      <c r="K16" s="7" t="s">
        <v>70</v>
      </c>
      <c r="L16" s="7" t="s">
        <v>27</v>
      </c>
      <c r="M16" s="7" t="s">
        <v>28</v>
      </c>
      <c r="N16" s="7">
        <v>85.0</v>
      </c>
      <c r="O16" s="7">
        <v>70.0</v>
      </c>
      <c r="P16" s="7">
        <v>62.0</v>
      </c>
      <c r="Q16" s="26" t="s">
        <v>80</v>
      </c>
      <c r="R16" s="13" t="s">
        <v>30</v>
      </c>
      <c r="S16" s="13" t="s">
        <v>31</v>
      </c>
      <c r="T16" s="26" t="s">
        <v>28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14">
        <v>45833.0</v>
      </c>
      <c r="B17" s="15">
        <v>0.4201388888888889</v>
      </c>
      <c r="C17" s="7" t="s">
        <v>22</v>
      </c>
      <c r="D17" s="7" t="s">
        <v>36</v>
      </c>
      <c r="E17" s="7">
        <v>17.03425</v>
      </c>
      <c r="F17" s="7">
        <v>-61.91316</v>
      </c>
      <c r="G17" s="25" t="s">
        <v>28</v>
      </c>
      <c r="H17" s="25"/>
      <c r="I17" s="26" t="s">
        <v>81</v>
      </c>
      <c r="J17" s="7" t="s">
        <v>69</v>
      </c>
      <c r="K17" s="7" t="s">
        <v>70</v>
      </c>
      <c r="L17" s="7" t="s">
        <v>51</v>
      </c>
      <c r="M17" s="7" t="s">
        <v>82</v>
      </c>
      <c r="N17" s="7">
        <v>155.0</v>
      </c>
      <c r="O17" s="7">
        <v>123.0</v>
      </c>
      <c r="P17" s="7">
        <v>110.0</v>
      </c>
      <c r="Q17" s="26" t="s">
        <v>83</v>
      </c>
      <c r="R17" s="13" t="s">
        <v>30</v>
      </c>
      <c r="S17" s="13" t="s">
        <v>31</v>
      </c>
      <c r="T17" s="26" t="s">
        <v>28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14">
        <v>45834.0</v>
      </c>
      <c r="B18" s="15">
        <v>0.7222222222222222</v>
      </c>
      <c r="C18" s="7" t="s">
        <v>22</v>
      </c>
      <c r="D18" s="7" t="s">
        <v>36</v>
      </c>
      <c r="E18" s="7">
        <v>17.03326</v>
      </c>
      <c r="F18" s="7">
        <v>-61.91339</v>
      </c>
      <c r="G18" s="25" t="s">
        <v>84</v>
      </c>
      <c r="H18" s="25"/>
      <c r="I18" s="26" t="s">
        <v>85</v>
      </c>
      <c r="J18" s="7" t="s">
        <v>38</v>
      </c>
      <c r="K18" s="7" t="s">
        <v>39</v>
      </c>
      <c r="L18" s="7" t="s">
        <v>27</v>
      </c>
      <c r="M18" s="7" t="s">
        <v>28</v>
      </c>
      <c r="N18" s="7">
        <v>337.0</v>
      </c>
      <c r="O18" s="7">
        <v>263.0</v>
      </c>
      <c r="P18" s="7">
        <v>252.0</v>
      </c>
      <c r="Q18" s="26" t="s">
        <v>86</v>
      </c>
      <c r="R18" s="13" t="s">
        <v>30</v>
      </c>
      <c r="S18" s="13" t="s">
        <v>30</v>
      </c>
      <c r="T18" s="26" t="s">
        <v>87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14">
        <v>45835.0</v>
      </c>
      <c r="B19" s="15">
        <v>0.4930555555555556</v>
      </c>
      <c r="C19" s="7" t="s">
        <v>22</v>
      </c>
      <c r="D19" s="7" t="s">
        <v>36</v>
      </c>
      <c r="E19" s="7">
        <v>17.03358</v>
      </c>
      <c r="F19" s="7">
        <v>-61.9159</v>
      </c>
      <c r="G19" s="25" t="s">
        <v>28</v>
      </c>
      <c r="H19" s="27"/>
      <c r="I19" s="26" t="s">
        <v>88</v>
      </c>
      <c r="J19" s="7" t="s">
        <v>69</v>
      </c>
      <c r="K19" s="7" t="s">
        <v>70</v>
      </c>
      <c r="L19" s="7" t="s">
        <v>27</v>
      </c>
      <c r="M19" s="7" t="s">
        <v>28</v>
      </c>
      <c r="N19" s="7">
        <v>205.0</v>
      </c>
      <c r="O19" s="7">
        <v>164.0</v>
      </c>
      <c r="P19" s="7">
        <v>155.0</v>
      </c>
      <c r="Q19" s="26" t="s">
        <v>89</v>
      </c>
      <c r="R19" s="13" t="s">
        <v>30</v>
      </c>
      <c r="S19" s="13" t="s">
        <v>31</v>
      </c>
      <c r="T19" s="26" t="s">
        <v>28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14">
        <v>45835.0</v>
      </c>
      <c r="B20" s="15">
        <v>0.6416666666666667</v>
      </c>
      <c r="C20" s="7" t="s">
        <v>22</v>
      </c>
      <c r="D20" s="7" t="s">
        <v>36</v>
      </c>
      <c r="E20" s="7">
        <v>17.05387</v>
      </c>
      <c r="F20" s="7">
        <v>-61.91577</v>
      </c>
      <c r="G20" s="25" t="s">
        <v>28</v>
      </c>
      <c r="H20" s="27"/>
      <c r="I20" s="26" t="s">
        <v>28</v>
      </c>
      <c r="J20" s="7" t="s">
        <v>38</v>
      </c>
      <c r="K20" s="7" t="s">
        <v>39</v>
      </c>
      <c r="L20" s="7" t="s">
        <v>27</v>
      </c>
      <c r="M20" s="7" t="s">
        <v>28</v>
      </c>
      <c r="N20" s="8">
        <f>75*2</f>
        <v>150</v>
      </c>
      <c r="O20" s="13" t="s">
        <v>28</v>
      </c>
      <c r="P20" s="13" t="s">
        <v>28</v>
      </c>
      <c r="Q20" s="26" t="s">
        <v>28</v>
      </c>
      <c r="R20" s="13" t="s">
        <v>30</v>
      </c>
      <c r="S20" s="13" t="s">
        <v>31</v>
      </c>
      <c r="T20" s="26" t="s">
        <v>28</v>
      </c>
      <c r="U20" s="7" t="s">
        <v>90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K21" s="8"/>
    </row>
    <row r="22">
      <c r="E22" s="28"/>
      <c r="K22" s="8"/>
    </row>
    <row r="23">
      <c r="E23" s="28"/>
      <c r="K23" s="8"/>
    </row>
    <row r="24">
      <c r="K24" s="8"/>
    </row>
    <row r="25">
      <c r="K25" s="8"/>
    </row>
    <row r="26">
      <c r="K26" s="8"/>
    </row>
    <row r="27">
      <c r="K27" s="8"/>
    </row>
    <row r="28">
      <c r="K28" s="8"/>
    </row>
    <row r="29">
      <c r="K29" s="8"/>
    </row>
    <row r="30">
      <c r="K30" s="8"/>
    </row>
    <row r="31">
      <c r="K31" s="8"/>
    </row>
    <row r="32">
      <c r="K32" s="8"/>
    </row>
    <row r="33">
      <c r="K33" s="8"/>
    </row>
    <row r="34">
      <c r="K34" s="8"/>
    </row>
    <row r="35">
      <c r="K35" s="8"/>
    </row>
    <row r="36">
      <c r="K36" s="8"/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</v>
      </c>
      <c r="B1" s="1" t="s">
        <v>4</v>
      </c>
      <c r="C1" s="1" t="s">
        <v>5</v>
      </c>
      <c r="D1" s="1" t="s">
        <v>92</v>
      </c>
      <c r="E1" s="2" t="s">
        <v>10</v>
      </c>
      <c r="F1" s="1" t="s">
        <v>11</v>
      </c>
      <c r="G1" s="1" t="s">
        <v>93</v>
      </c>
      <c r="H1" s="1" t="s">
        <v>94</v>
      </c>
      <c r="I1" s="1" t="s">
        <v>95</v>
      </c>
      <c r="J1" s="1" t="s">
        <v>16</v>
      </c>
      <c r="K1" s="1" t="s">
        <v>96</v>
      </c>
      <c r="L1" s="1" t="s">
        <v>20</v>
      </c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4">
        <v>45829.0</v>
      </c>
      <c r="B2" s="7">
        <v>17.03526</v>
      </c>
      <c r="C2" s="7">
        <v>-61.91842</v>
      </c>
      <c r="D2" s="26" t="s">
        <v>64</v>
      </c>
      <c r="E2" s="7" t="s">
        <v>39</v>
      </c>
      <c r="F2" s="7" t="s">
        <v>27</v>
      </c>
      <c r="G2" s="7">
        <v>262.0</v>
      </c>
      <c r="H2" s="7">
        <v>215.0</v>
      </c>
      <c r="I2" s="7">
        <v>196.0</v>
      </c>
      <c r="J2" s="26" t="s">
        <v>65</v>
      </c>
      <c r="K2" s="26" t="s">
        <v>66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4">
        <v>45830.0</v>
      </c>
      <c r="B3" s="7">
        <v>17.03296</v>
      </c>
      <c r="C3" s="7">
        <v>-61.91388</v>
      </c>
      <c r="D3" s="26" t="s">
        <v>68</v>
      </c>
      <c r="E3" s="7" t="s">
        <v>70</v>
      </c>
      <c r="F3" s="7" t="s">
        <v>27</v>
      </c>
      <c r="G3" s="7">
        <v>118.0</v>
      </c>
      <c r="H3" s="7">
        <v>102.0</v>
      </c>
      <c r="I3" s="7">
        <v>87.0</v>
      </c>
      <c r="J3" s="26" t="s">
        <v>71</v>
      </c>
      <c r="K3" s="26" t="s">
        <v>28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4">
        <v>45830.0</v>
      </c>
      <c r="B4" s="7">
        <v>17.03535</v>
      </c>
      <c r="C4" s="7">
        <v>-61.91845</v>
      </c>
      <c r="D4" s="26" t="s">
        <v>73</v>
      </c>
      <c r="E4" s="7" t="s">
        <v>39</v>
      </c>
      <c r="F4" s="7" t="s">
        <v>27</v>
      </c>
      <c r="G4" s="7">
        <v>292.0</v>
      </c>
      <c r="H4" s="7">
        <v>258.0</v>
      </c>
      <c r="I4" s="7">
        <v>245.0</v>
      </c>
      <c r="J4" s="26" t="s">
        <v>74</v>
      </c>
      <c r="K4" s="26" t="s">
        <v>75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4">
        <v>45833.0</v>
      </c>
      <c r="B5" s="7">
        <v>17.03425</v>
      </c>
      <c r="C5" s="7">
        <v>-61.91316</v>
      </c>
      <c r="D5" s="26" t="s">
        <v>76</v>
      </c>
      <c r="E5" s="7" t="s">
        <v>39</v>
      </c>
      <c r="F5" s="7" t="s">
        <v>27</v>
      </c>
      <c r="G5" s="7">
        <v>249.0</v>
      </c>
      <c r="H5" s="7">
        <v>236.0</v>
      </c>
      <c r="I5" s="7">
        <v>183.0</v>
      </c>
      <c r="J5" s="26" t="s">
        <v>77</v>
      </c>
      <c r="K5" s="26" t="s">
        <v>78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4">
        <v>45833.0</v>
      </c>
      <c r="B6" s="7">
        <v>17.03425</v>
      </c>
      <c r="C6" s="7">
        <v>-61.91316</v>
      </c>
      <c r="D6" s="26" t="s">
        <v>79</v>
      </c>
      <c r="E6" s="7" t="s">
        <v>70</v>
      </c>
      <c r="F6" s="7" t="s">
        <v>27</v>
      </c>
      <c r="G6" s="7">
        <v>85.0</v>
      </c>
      <c r="H6" s="7">
        <v>70.0</v>
      </c>
      <c r="I6" s="7">
        <v>62.0</v>
      </c>
      <c r="J6" s="26" t="s">
        <v>80</v>
      </c>
      <c r="K6" s="26" t="s">
        <v>28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4">
        <v>45833.0</v>
      </c>
      <c r="B7" s="7">
        <v>17.03425</v>
      </c>
      <c r="C7" s="7">
        <v>-61.91316</v>
      </c>
      <c r="D7" s="26" t="s">
        <v>81</v>
      </c>
      <c r="E7" s="7" t="s">
        <v>70</v>
      </c>
      <c r="F7" s="7" t="s">
        <v>51</v>
      </c>
      <c r="G7" s="7">
        <v>155.0</v>
      </c>
      <c r="H7" s="7">
        <v>123.0</v>
      </c>
      <c r="I7" s="7">
        <v>110.0</v>
      </c>
      <c r="J7" s="26" t="s">
        <v>83</v>
      </c>
      <c r="K7" s="26" t="s">
        <v>28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4">
        <v>45834.0</v>
      </c>
      <c r="B8" s="7">
        <v>17.03326</v>
      </c>
      <c r="C8" s="7">
        <v>-61.91339</v>
      </c>
      <c r="D8" s="26" t="s">
        <v>85</v>
      </c>
      <c r="E8" s="7" t="s">
        <v>39</v>
      </c>
      <c r="F8" s="7" t="s">
        <v>27</v>
      </c>
      <c r="G8" s="7">
        <v>337.0</v>
      </c>
      <c r="H8" s="7">
        <v>263.0</v>
      </c>
      <c r="I8" s="7">
        <v>252.0</v>
      </c>
      <c r="J8" s="26" t="s">
        <v>86</v>
      </c>
      <c r="K8" s="26" t="s">
        <v>87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4">
        <v>45835.0</v>
      </c>
      <c r="B9" s="7">
        <v>17.03358</v>
      </c>
      <c r="C9" s="7">
        <v>-61.9159</v>
      </c>
      <c r="D9" s="26" t="s">
        <v>88</v>
      </c>
      <c r="E9" s="7" t="s">
        <v>70</v>
      </c>
      <c r="F9" s="7" t="s">
        <v>27</v>
      </c>
      <c r="G9" s="7">
        <v>205.0</v>
      </c>
      <c r="H9" s="7">
        <v>164.0</v>
      </c>
      <c r="I9" s="7">
        <v>155.0</v>
      </c>
      <c r="J9" s="26" t="s">
        <v>89</v>
      </c>
      <c r="K9" s="26" t="s">
        <v>28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4">
        <v>45835.0</v>
      </c>
      <c r="B10" s="7">
        <v>17.05387</v>
      </c>
      <c r="C10" s="7">
        <v>-61.91577</v>
      </c>
      <c r="D10" s="26" t="s">
        <v>28</v>
      </c>
      <c r="E10" s="7" t="s">
        <v>39</v>
      </c>
      <c r="F10" s="7" t="s">
        <v>27</v>
      </c>
      <c r="G10" s="8">
        <f>75*2</f>
        <v>150</v>
      </c>
      <c r="H10" s="13" t="s">
        <v>28</v>
      </c>
      <c r="I10" s="13" t="s">
        <v>28</v>
      </c>
      <c r="J10" s="26" t="s">
        <v>28</v>
      </c>
      <c r="K10" s="26" t="s">
        <v>28</v>
      </c>
      <c r="L10" s="7" t="s">
        <v>97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29" t="s">
        <v>2</v>
      </c>
      <c r="C1" s="29" t="s">
        <v>3</v>
      </c>
      <c r="D1" s="29" t="s">
        <v>98</v>
      </c>
      <c r="E1" s="29" t="s">
        <v>99</v>
      </c>
      <c r="F1" s="29" t="s">
        <v>100</v>
      </c>
      <c r="G1" s="29" t="s">
        <v>101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31">
        <v>45829.0</v>
      </c>
      <c r="B2" s="32" t="s">
        <v>22</v>
      </c>
      <c r="C2" s="32" t="s">
        <v>36</v>
      </c>
      <c r="D2" s="33">
        <v>0.42777777777777776</v>
      </c>
      <c r="E2" s="33">
        <v>0.5625</v>
      </c>
      <c r="F2" s="34">
        <f t="shared" ref="F2:F10" si="1">E2-D2</f>
        <v>0.1347222222</v>
      </c>
      <c r="G2" s="32">
        <v>1.0</v>
      </c>
    </row>
    <row r="3">
      <c r="A3" s="31">
        <v>45829.0</v>
      </c>
      <c r="B3" s="32" t="s">
        <v>22</v>
      </c>
      <c r="C3" s="32" t="s">
        <v>36</v>
      </c>
      <c r="D3" s="33">
        <v>0.42777777777777776</v>
      </c>
      <c r="E3" s="33">
        <v>0.6694444444444444</v>
      </c>
      <c r="F3" s="34">
        <f t="shared" si="1"/>
        <v>0.2416666667</v>
      </c>
      <c r="G3" s="32">
        <v>3.0</v>
      </c>
    </row>
    <row r="4">
      <c r="A4" s="31">
        <v>45830.0</v>
      </c>
      <c r="B4" s="32" t="s">
        <v>22</v>
      </c>
      <c r="C4" s="32" t="s">
        <v>36</v>
      </c>
      <c r="D4" s="33">
        <v>0.2847222222222222</v>
      </c>
      <c r="E4" s="33">
        <v>0.3541666666666667</v>
      </c>
      <c r="F4" s="34">
        <f t="shared" si="1"/>
        <v>0.06944444444</v>
      </c>
      <c r="G4" s="32">
        <v>1.0</v>
      </c>
    </row>
    <row r="5">
      <c r="A5" s="31">
        <v>45830.0</v>
      </c>
      <c r="B5" s="32" t="s">
        <v>22</v>
      </c>
      <c r="C5" s="32" t="s">
        <v>36</v>
      </c>
      <c r="D5" s="33">
        <v>0.2847222222222222</v>
      </c>
      <c r="E5" s="33">
        <v>0.5430555555555555</v>
      </c>
      <c r="F5" s="34">
        <f t="shared" si="1"/>
        <v>0.2583333333</v>
      </c>
      <c r="G5" s="32">
        <v>3.0</v>
      </c>
    </row>
    <row r="6">
      <c r="A6" s="31">
        <v>45831.0</v>
      </c>
      <c r="B6" s="32" t="s">
        <v>22</v>
      </c>
      <c r="C6" s="32" t="s">
        <v>36</v>
      </c>
      <c r="D6" s="33">
        <v>0.48541666666666666</v>
      </c>
      <c r="E6" s="33">
        <v>0.6625</v>
      </c>
      <c r="F6" s="34">
        <f t="shared" si="1"/>
        <v>0.1770833333</v>
      </c>
      <c r="G6" s="32">
        <v>1.0</v>
      </c>
    </row>
    <row r="7">
      <c r="A7" s="31">
        <v>45831.0</v>
      </c>
      <c r="B7" s="32" t="s">
        <v>22</v>
      </c>
      <c r="C7" s="32" t="s">
        <v>36</v>
      </c>
      <c r="D7" s="33">
        <v>0.48541666666666666</v>
      </c>
      <c r="E7" s="33">
        <v>0.7513888888888889</v>
      </c>
      <c r="F7" s="34">
        <f t="shared" si="1"/>
        <v>0.2659722222</v>
      </c>
      <c r="G7" s="32">
        <v>3.0</v>
      </c>
    </row>
    <row r="8">
      <c r="A8" s="31">
        <v>45833.0</v>
      </c>
      <c r="B8" s="32" t="s">
        <v>22</v>
      </c>
      <c r="C8" s="32" t="s">
        <v>36</v>
      </c>
      <c r="D8" s="33">
        <v>0.2965277777777778</v>
      </c>
      <c r="E8" s="33">
        <v>0.59375</v>
      </c>
      <c r="F8" s="34">
        <f t="shared" si="1"/>
        <v>0.2972222222</v>
      </c>
      <c r="G8" s="32">
        <v>4.0</v>
      </c>
    </row>
    <row r="9">
      <c r="A9" s="31">
        <v>45834.0</v>
      </c>
      <c r="B9" s="32" t="s">
        <v>22</v>
      </c>
      <c r="C9" s="32" t="s">
        <v>36</v>
      </c>
      <c r="D9" s="33">
        <v>0.3263888888888889</v>
      </c>
      <c r="E9" s="33">
        <v>0.7173611111111111</v>
      </c>
      <c r="F9" s="34">
        <f t="shared" si="1"/>
        <v>0.3909722222</v>
      </c>
      <c r="G9" s="32">
        <v>4.0</v>
      </c>
    </row>
    <row r="10">
      <c r="A10" s="31">
        <v>45835.0</v>
      </c>
      <c r="B10" s="32" t="s">
        <v>22</v>
      </c>
      <c r="C10" s="32" t="s">
        <v>36</v>
      </c>
      <c r="D10" s="33">
        <v>0.4270833333333333</v>
      </c>
      <c r="E10" s="33">
        <v>0.6458333333333334</v>
      </c>
      <c r="F10" s="34">
        <f t="shared" si="1"/>
        <v>0.21875</v>
      </c>
      <c r="G10" s="32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6" max="6" width="14.13"/>
  </cols>
  <sheetData>
    <row r="1">
      <c r="A1" s="35" t="s">
        <v>102</v>
      </c>
      <c r="B1" s="35" t="s">
        <v>1</v>
      </c>
      <c r="C1" s="35" t="s">
        <v>103</v>
      </c>
      <c r="D1" s="35" t="s">
        <v>3</v>
      </c>
      <c r="E1" s="35" t="s">
        <v>104</v>
      </c>
      <c r="F1" s="35" t="s">
        <v>105</v>
      </c>
      <c r="G1" s="35" t="s">
        <v>106</v>
      </c>
      <c r="H1" s="35" t="s">
        <v>11</v>
      </c>
      <c r="I1" s="36" t="s">
        <v>107</v>
      </c>
      <c r="J1" s="35" t="s">
        <v>108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  <c r="V1" s="38"/>
      <c r="W1" s="38"/>
    </row>
    <row r="2">
      <c r="A2" s="39">
        <v>45829.0</v>
      </c>
      <c r="B2" s="40">
        <v>0.5625</v>
      </c>
      <c r="C2" s="35" t="s">
        <v>22</v>
      </c>
      <c r="D2" s="35" t="s">
        <v>36</v>
      </c>
      <c r="E2" s="35">
        <v>17.03526</v>
      </c>
      <c r="F2" s="35">
        <v>-61.91842</v>
      </c>
      <c r="G2" s="35" t="s">
        <v>39</v>
      </c>
      <c r="H2" s="35" t="s">
        <v>27</v>
      </c>
      <c r="I2" s="36" t="s">
        <v>109</v>
      </c>
      <c r="J2" s="35" t="s">
        <v>110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8"/>
      <c r="V2" s="38"/>
      <c r="W2" s="38"/>
    </row>
    <row r="3">
      <c r="A3" s="39">
        <v>45830.0</v>
      </c>
      <c r="B3" s="40">
        <v>0.6298611111111111</v>
      </c>
      <c r="C3" s="35" t="s">
        <v>22</v>
      </c>
      <c r="D3" s="35" t="s">
        <v>36</v>
      </c>
      <c r="E3" s="35">
        <v>17.03535</v>
      </c>
      <c r="F3" s="35">
        <v>-61.91845</v>
      </c>
      <c r="G3" s="35" t="s">
        <v>39</v>
      </c>
      <c r="H3" s="35" t="s">
        <v>27</v>
      </c>
      <c r="I3" s="36" t="s">
        <v>111</v>
      </c>
      <c r="J3" s="35" t="s">
        <v>110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8"/>
      <c r="V3" s="8"/>
      <c r="W3" s="8"/>
    </row>
    <row r="4">
      <c r="A4" s="39">
        <v>45833.0</v>
      </c>
      <c r="B4" s="40">
        <v>0.36319444444444443</v>
      </c>
      <c r="C4" s="35" t="s">
        <v>22</v>
      </c>
      <c r="D4" s="35" t="s">
        <v>36</v>
      </c>
      <c r="E4" s="35">
        <v>17.03425</v>
      </c>
      <c r="F4" s="35">
        <v>-61.91316</v>
      </c>
      <c r="G4" s="35" t="s">
        <v>39</v>
      </c>
      <c r="H4" s="35" t="s">
        <v>27</v>
      </c>
      <c r="I4" s="36" t="s">
        <v>112</v>
      </c>
      <c r="J4" s="35" t="s">
        <v>113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8"/>
      <c r="V4" s="8"/>
      <c r="W4" s="8"/>
    </row>
    <row r="5" ht="16.5" customHeight="1">
      <c r="A5" s="39">
        <v>45834.0</v>
      </c>
      <c r="B5" s="40">
        <v>0.7222222222222222</v>
      </c>
      <c r="C5" s="35" t="s">
        <v>22</v>
      </c>
      <c r="D5" s="35" t="s">
        <v>36</v>
      </c>
      <c r="E5" s="35">
        <v>17.03326</v>
      </c>
      <c r="F5" s="35">
        <v>-61.91339</v>
      </c>
      <c r="G5" s="35" t="s">
        <v>39</v>
      </c>
      <c r="H5" s="35" t="s">
        <v>27</v>
      </c>
      <c r="I5" s="36" t="s">
        <v>114</v>
      </c>
      <c r="J5" s="35" t="s">
        <v>113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8"/>
      <c r="V5" s="8"/>
      <c r="W5" s="8"/>
    </row>
  </sheetData>
  <drawing r:id="rId1"/>
</worksheet>
</file>